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BEB9571C-19A7-41AD-84E5-9A00FACC50B2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武学配置" sheetId="1" r:id="rId1"/>
    <sheet name="武学等级配置" sheetId="5" r:id="rId2"/>
    <sheet name="招式配置" sheetId="2" r:id="rId3"/>
    <sheet name="心决" sheetId="6" r:id="rId4"/>
    <sheet name="密卷" sheetId="7" r:id="rId5"/>
    <sheet name="三才书属性加成" sheetId="11" r:id="rId6"/>
    <sheet name="Sheet1" sheetId="10" r:id="rId7"/>
    <sheet name="三才书特效" sheetId="12" r:id="rId8"/>
    <sheet name="密卷槽开启" sheetId="8" r:id="rId9"/>
    <sheet name="mijuan" sheetId="9" r:id="rId10"/>
  </sheets>
  <externalReferences>
    <externalReference r:id="rId11"/>
  </externalReferences>
  <definedNames>
    <definedName name="_xlnm._FilterDatabase" localSheetId="4" hidden="1">密卷!$A$1:$I$52</definedName>
    <definedName name="_xlnm._FilterDatabase" localSheetId="5" hidden="1">三才书属性加成!$A$1:$AF$51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7" l="1"/>
  <c r="D20" i="7"/>
  <c r="D17" i="7"/>
  <c r="D26" i="7"/>
  <c r="D25" i="7"/>
  <c r="D24" i="7"/>
  <c r="D32" i="7"/>
  <c r="D52" i="7"/>
  <c r="D51" i="7"/>
  <c r="D50" i="7"/>
  <c r="D49" i="7"/>
  <c r="D48" i="7"/>
  <c r="D47" i="7"/>
  <c r="D42" i="7"/>
  <c r="A5" i="12"/>
  <c r="A3" i="12"/>
  <c r="I32" i="11" l="1"/>
  <c r="I33" i="11"/>
  <c r="I14" i="11"/>
  <c r="I13" i="11"/>
  <c r="I34" i="11"/>
  <c r="A48" i="11" l="1"/>
  <c r="A51" i="11"/>
  <c r="A50" i="11"/>
  <c r="A47" i="11"/>
  <c r="A49" i="11"/>
  <c r="A52" i="11"/>
  <c r="A45" i="11"/>
  <c r="A43" i="11"/>
  <c r="A44" i="11"/>
  <c r="A46" i="11"/>
  <c r="A41" i="11"/>
  <c r="A40" i="11"/>
  <c r="I31" i="11"/>
  <c r="I30" i="11"/>
  <c r="I29" i="11"/>
  <c r="D46" i="7"/>
  <c r="D44" i="7"/>
  <c r="D45" i="7"/>
  <c r="D43" i="7"/>
  <c r="D40" i="7"/>
  <c r="D41" i="7"/>
  <c r="D34" i="7"/>
  <c r="D35" i="7"/>
  <c r="D36" i="7"/>
  <c r="D37" i="7"/>
  <c r="D38" i="7"/>
  <c r="D39" i="7"/>
  <c r="D33" i="7"/>
  <c r="D28" i="7"/>
  <c r="D29" i="7"/>
  <c r="D30" i="7"/>
  <c r="D31" i="7"/>
  <c r="D27" i="7"/>
  <c r="D23" i="7"/>
  <c r="D22" i="7"/>
  <c r="D19" i="7"/>
  <c r="D18" i="7"/>
  <c r="D16" i="7"/>
  <c r="D15" i="7"/>
  <c r="D4" i="7"/>
  <c r="D5" i="7"/>
  <c r="D6" i="7"/>
  <c r="D7" i="7"/>
  <c r="D8" i="7"/>
  <c r="D9" i="7"/>
  <c r="D10" i="7"/>
  <c r="D11" i="7"/>
  <c r="D12" i="7"/>
  <c r="D13" i="7"/>
  <c r="D14" i="7"/>
  <c r="D3" i="7"/>
  <c r="I10" i="11"/>
  <c r="I12" i="11"/>
  <c r="I7" i="11"/>
  <c r="I11" i="11"/>
  <c r="I9" i="11"/>
  <c r="I8" i="11"/>
  <c r="I4" i="11"/>
  <c r="I5" i="11"/>
  <c r="I6" i="11"/>
  <c r="I3" i="11"/>
  <c r="G87" i="10"/>
  <c r="G88" i="10"/>
  <c r="G89" i="10"/>
  <c r="G90" i="10"/>
  <c r="G91" i="10"/>
  <c r="G92" i="10"/>
  <c r="G95" i="10"/>
  <c r="G96" i="10"/>
  <c r="G97" i="10"/>
  <c r="G98" i="10"/>
  <c r="G100" i="10"/>
  <c r="G101" i="10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A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作者:
1,拳脚；
2,剑术；
3,刀法;
4,长兵；
5,奇门（软兵，暗器，钝器，利器的总和统称）；
6,火器；
7,内功；
8,轻功；
9.拳脚（通用技能）
10.剑术（通用技能）
11.刀法（通用技能）
12.长兵（通用技能）
13.奇门（通用技能）
14.火器（通用技能）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dave666</author>
    <author>作者</author>
  </authors>
  <commentList>
    <comment ref="Q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动画名，总帧数，第多少帧击中目标,第多少帧击中目标,第多少帧击中目标(可多个)</t>
        </r>
      </text>
    </comment>
    <comment ref="F3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伤害=武力*3</t>
        </r>
      </text>
    </comment>
    <comment ref="F4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backCD 后置冷却时间-2
forwardCD 为前置冷却</t>
        </r>
      </text>
    </comment>
    <comment ref="F5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伤害=武力*2+14</t>
        </r>
      </text>
    </comment>
    <comment ref="F6" authorId="1" shapeId="0" xr:uid="{00000000-0006-0000-0200-00000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增加闪避=身法*2</t>
        </r>
      </text>
    </comment>
    <comment ref="F7" authorId="1" shapeId="0" xr:uid="{00000000-0006-0000-0200-00000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伤害=武力*4</t>
        </r>
      </text>
    </comment>
    <comment ref="F8" authorId="1" shapeId="0" xr:uid="{00000000-0006-0000-0200-000007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（身法*0.2）%概率使10200101主动招式的前置CD清零；
hurtClearCD 伤害清除某个招式的CD   后面的1 表示清除的是第一个主动技能的 2表示内功</t>
        </r>
      </text>
    </comment>
    <comment ref="F9" authorId="1" shapeId="0" xr:uid="{00000000-0006-0000-0200-000008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伤害=内息*5</t>
        </r>
      </text>
    </comment>
    <comment ref="F10" authorId="1" shapeId="0" xr:uid="{00000000-0006-0000-0200-000009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增加攻击力=内息*2</t>
        </r>
      </text>
    </comment>
    <comment ref="F12" authorId="1" shapeId="0" xr:uid="{00000000-0006-0000-0200-00000A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伤害=武力*5</t>
        </r>
      </text>
    </comment>
    <comment ref="F13" authorId="1" shapeId="0" xr:uid="{00000000-0006-0000-0200-00000B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每次攻击后有（身法*0.25）%概率再一次进行攻击</t>
        </r>
      </text>
    </comment>
    <comment ref="F14" authorId="1" shapeId="0" xr:uid="{00000000-0006-0000-0200-00000C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伤害=武力*2</t>
        </r>
      </text>
    </comment>
    <comment ref="F15" authorId="1" shapeId="0" xr:uid="{00000000-0006-0000-0200-00000D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增加防御=筋骨*2</t>
        </r>
      </text>
    </comment>
    <comment ref="F16" authorId="1" shapeId="0" xr:uid="{00000000-0006-0000-0200-00000E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伤害=武力*3
</t>
        </r>
      </text>
    </comment>
    <comment ref="F17" authorId="1" shapeId="0" xr:uid="{00000000-0006-0000-0200-00000F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施展主动技能10400101时，除目标角色外，对目标角色临近一格的角色造成伤害=武力</t>
        </r>
      </text>
    </comment>
    <comment ref="F18" authorId="1" shapeId="0" xr:uid="{00000000-0006-0000-0200-000010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伤害=武力*5</t>
        </r>
      </text>
    </comment>
    <comment ref="F19" authorId="1" shapeId="0" xr:uid="{00000000-0006-0000-0200-00001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主动招式10700101增加伤害=(a筋骨-d筋骨)*1.6 
soma 为筋骨   （属性前面加target 表示对方属性）
targetsoma为对方筋骨  等价于 targetSoma 
(同理targetForce为对方武力  等价于 targetforce)
iif相当于三目表达试，如果满足前面的条件 执行第一个选项，不满足则执行后面的选项
iif(soma&gt;targetsoma,(soma-targetsoma)*1.6,0)
这里判断如果自身筋骨大于对方筋骨 计算 (筋骨-对方筋骨)*1.6 ;否则  返回0.
等价于 
iif(soma&lt;=targetsoma,0,(soma-targetsoma)*1.6)
这里判断如果自身筋骨少于等于对方筋骨返回0，否则 计算 (soma-targetsoma)*1.6
</t>
        </r>
      </text>
    </comment>
    <comment ref="F20" authorId="1" shapeId="0" xr:uid="{00000000-0006-0000-0200-00001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攻击同一排角色造成，伤害=内息*3</t>
        </r>
      </text>
    </comment>
    <comment ref="F21" authorId="1" shapeId="0" xr:uid="{00000000-0006-0000-0200-000013000000}">
      <text>
        <r>
          <rPr>
            <b/>
            <sz val="9"/>
            <rFont val="宋体"/>
            <family val="3"/>
            <charset val="134"/>
          </rPr>
          <t>作者:
（身法*2）%概率给目标角色造成后置冷却+1</t>
        </r>
      </text>
    </comment>
    <comment ref="F22" authorId="1" shapeId="0" xr:uid="{00000000-0006-0000-0200-00001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伤害=武力*3,15%概率造成流血状态</t>
        </r>
      </text>
    </comment>
    <comment ref="F23" authorId="1" shapeId="0" xr:uid="{00000000-0006-0000-0200-00001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提升攻击=内息，提升防御=内息</t>
        </r>
      </text>
    </comment>
    <comment ref="F24" authorId="1" shapeId="0" xr:uid="{00000000-0006-0000-0200-00001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每次攻击后回复2%内力</t>
        </r>
      </text>
    </comment>
    <comment ref="F77" authorId="1" shapeId="0" xr:uid="{00000000-0006-0000-0200-000017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伤害=武力*2+14</t>
        </r>
      </text>
    </comment>
    <comment ref="F78" authorId="1" shapeId="0" xr:uid="{00000000-0006-0000-0200-000018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增加闪避=身法*2</t>
        </r>
      </text>
    </comment>
    <comment ref="F79" authorId="1" shapeId="0" xr:uid="{00000000-0006-0000-0200-000019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伤害=武力*2</t>
        </r>
      </text>
    </comment>
    <comment ref="F80" authorId="1" shapeId="0" xr:uid="{00000000-0006-0000-0200-00001A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增加防御=筋骨*2</t>
        </r>
      </text>
    </comment>
    <comment ref="F81" authorId="1" shapeId="0" xr:uid="{00000000-0006-0000-0200-00001B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伤害=武力*5</t>
        </r>
      </text>
    </comment>
    <comment ref="F82" authorId="1" shapeId="0" xr:uid="{00000000-0006-0000-0200-00001C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主动招式10700101增加伤害=(a筋骨-d筋骨)*1.6 
soma 为筋骨   （属性前面加target 表示对方属性）
targetsoma为对方筋骨  等价于 targetSoma 
(同理targetForce为对方武力  等价于 targetforce)
iif相当于三目表达试，如果满足前面的条件 执行第一个选项，不满足则执行后面的选项
iif(soma&gt;targetsoma,(soma-targetsoma)*1.6,0)
这里判断如果自身筋骨大于对方筋骨 计算 (筋骨-对方筋骨)*1.6 ;否则  返回0.
等价于 
iif(soma&lt;=targetsoma,0,(soma-targetsoma)*1.6)
这里判断如果自身筋骨少于等于对方筋骨返回0，否则 计算 (soma-targetsoma)*1.6
</t>
        </r>
      </text>
    </comment>
    <comment ref="F83" authorId="1" shapeId="0" xr:uid="{00000000-0006-0000-0200-00001D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伤害=武力*5</t>
        </r>
      </text>
    </comment>
    <comment ref="F84" authorId="1" shapeId="0" xr:uid="{00000000-0006-0000-0200-00001E000000}">
      <text>
        <r>
          <rPr>
            <b/>
            <sz val="9"/>
            <rFont val="宋体"/>
            <family val="3"/>
            <charset val="134"/>
          </rPr>
          <t>作者:
（身法*2）%概率给目标角色造成后置冷却+1</t>
        </r>
      </text>
    </comment>
    <comment ref="F85" authorId="1" shapeId="0" xr:uid="{00000000-0006-0000-0200-00001F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伤害=武力*5</t>
        </r>
      </text>
    </comment>
    <comment ref="F88" authorId="1" shapeId="0" xr:uid="{00000000-0006-0000-0200-000020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伤害=武力*5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26250</author>
  </authors>
  <commentList>
    <comment ref="H1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 xml:space="preserve">0 无任何条件
1 武器类型ID
2 性别男
3 姓氏女
4 只对玩家生效
5 善恶值为正值
6 善恶值为负值
7 姓氏ID为段性      8 装备武学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dave666</author>
  </authors>
  <commentList>
    <comment ref="C8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1.脸 2.前发 3.后发 4.眼睛 5.眉毛 6.鼻子
7.嘴巴 8.脸饰 9.胡子 10.衣服 11.面具</t>
        </r>
      </text>
    </comment>
    <comment ref="F85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dave666:
表中屏幕宽度</t>
        </r>
        <r>
          <rPr>
            <sz val="9"/>
            <rFont val="宋体"/>
            <family val="3"/>
            <charset val="134"/>
          </rPr>
          <t xml:space="preserve">
半屏宽度 大约是10.6
3分之一屏 大约是7.1
一屏  约  21.2</t>
        </r>
      </text>
    </comment>
  </commentList>
</comments>
</file>

<file path=xl/sharedStrings.xml><?xml version="1.0" encoding="utf-8"?>
<sst xmlns="http://schemas.openxmlformats.org/spreadsheetml/2006/main" count="4344" uniqueCount="1518">
  <si>
    <t>技能ID</t>
  </si>
  <si>
    <t>武学名称</t>
  </si>
  <si>
    <t>武学级别</t>
  </si>
  <si>
    <t>武学类型</t>
  </si>
  <si>
    <t>出处</t>
  </si>
  <si>
    <t>对应武器</t>
  </si>
  <si>
    <t>造诣限制</t>
  </si>
  <si>
    <t>招式id</t>
  </si>
  <si>
    <t>招式中文</t>
  </si>
  <si>
    <t>等级上限</t>
  </si>
  <si>
    <t>学习方法</t>
  </si>
  <si>
    <t>武学描述</t>
  </si>
  <si>
    <t>icon</t>
  </si>
  <si>
    <t>id</t>
  </si>
  <si>
    <t>name</t>
  </si>
  <si>
    <t>level</t>
  </si>
  <si>
    <t>type</t>
  </si>
  <si>
    <t>sect</t>
  </si>
  <si>
    <t>weapon</t>
  </si>
  <si>
    <t>condition</t>
  </si>
  <si>
    <t>childIds</t>
  </si>
  <si>
    <t>#注释行</t>
  </si>
  <si>
    <t>lvMax</t>
  </si>
  <si>
    <t>study</t>
  </si>
  <si>
    <t>des</t>
  </si>
  <si>
    <t>太祖长拳</t>
  </si>
  <si>
    <t>入门武学</t>
  </si>
  <si>
    <t>武功</t>
  </si>
  <si>
    <t>行伍武学</t>
  </si>
  <si>
    <t>att,1,0</t>
  </si>
  <si>
    <t>10100101;10100102;10100201;10100202;10200101;10200102;10200201;10200202;10200203;10300101</t>
  </si>
  <si>
    <t>进步冲捶,心意圆融</t>
  </si>
  <si>
    <t>秘籍学习</t>
  </si>
  <si>
    <t>江湖入门武学，又名三十二式长拳，谓之百拳之母。</t>
  </si>
  <si>
    <t>skill/101001</t>
  </si>
  <si>
    <t>猛獒拳</t>
  </si>
  <si>
    <t>市井武学</t>
  </si>
  <si>
    <t>拳脚</t>
  </si>
  <si>
    <t>att,1,5</t>
  </si>
  <si>
    <t>10100201;10100202</t>
  </si>
  <si>
    <t>恶狗扑食,沾地滚</t>
  </si>
  <si>
    <t>脱胎于犬类身形的拳法，颇为威猛，动作朴实刚健。</t>
  </si>
  <si>
    <t>skill/101002</t>
  </si>
  <si>
    <t>清风剑法</t>
  </si>
  <si>
    <t>江湖武学</t>
  </si>
  <si>
    <t>att,2,0</t>
  </si>
  <si>
    <t>清风骤起,清风时归</t>
  </si>
  <si>
    <t>江湖入门武学，轻灵潇洒，若清风快剑，迅疾无形。</t>
  </si>
  <si>
    <t>skill/102001</t>
  </si>
  <si>
    <t>钟灵剑法</t>
  </si>
  <si>
    <t>一般武学</t>
  </si>
  <si>
    <t>姑苏楚家</t>
  </si>
  <si>
    <t>att,2,20</t>
  </si>
  <si>
    <t>灵犀一点,灵心慧性</t>
  </si>
  <si>
    <t>钟灵毓秀，自造化始，剑势慧颖，自灵犀起。</t>
  </si>
  <si>
    <t>skill/102002</t>
  </si>
  <si>
    <t>寥落剑法</t>
  </si>
  <si>
    <t>上乘武学</t>
  </si>
  <si>
    <t>杜颜白</t>
  </si>
  <si>
    <t>剑</t>
  </si>
  <si>
    <t>att,2,80</t>
  </si>
  <si>
    <t>10200301;10200302;10200303;10200304;10200305</t>
  </si>
  <si>
    <t>山河破,风飘絮,雨打萍,叹零丁,照汗青</t>
  </si>
  <si>
    <t>寥落剑法为杜颜白自创，寥寥数招，若孤鸿低垂，最合心境。</t>
  </si>
  <si>
    <t>skill/102003</t>
  </si>
  <si>
    <t>乾坤刀法</t>
  </si>
  <si>
    <t>att,3,0</t>
  </si>
  <si>
    <t>开天辟地,改天换地</t>
  </si>
  <si>
    <t>江湖入门武学，刀势雄浑，堂堂正正，不负乾坤之名。</t>
  </si>
  <si>
    <t>skill/103001</t>
  </si>
  <si>
    <t>开山刀法</t>
  </si>
  <si>
    <t>刀</t>
  </si>
  <si>
    <t>att,3,5</t>
  </si>
  <si>
    <t>10300201;10300202</t>
  </si>
  <si>
    <t>力劈华山,开山劲</t>
  </si>
  <si>
    <t>江湖入门武学，刀法大开大合，干净利落。</t>
  </si>
  <si>
    <t>skill/103002</t>
  </si>
  <si>
    <t>先锋棍法</t>
  </si>
  <si>
    <t>att,4,0</t>
  </si>
  <si>
    <t>敲山震虎,力拔山河</t>
  </si>
  <si>
    <t>江湖入门武学，招式古拙，讲求以力破巧。</t>
  </si>
  <si>
    <t>skill/104001</t>
  </si>
  <si>
    <t>披麻锤法</t>
  </si>
  <si>
    <t>att,5,10</t>
  </si>
  <si>
    <t>乱披风锤,锤风贯耳</t>
  </si>
  <si>
    <t>山贼土匪们常习练的武学，出手时以蛮力乱击，简单易用。</t>
  </si>
  <si>
    <t>skill/107001</t>
  </si>
  <si>
    <t>勾栏鞭法</t>
  </si>
  <si>
    <t>奇门-软兵</t>
  </si>
  <si>
    <t>att,5,0</t>
  </si>
  <si>
    <t>10900101;10900102</t>
  </si>
  <si>
    <t>横勾鞭,勾栏缠鞭</t>
  </si>
  <si>
    <t>奴隶贩子习练的软兵武学，攻击方式较为单一，却效果颇佳。</t>
  </si>
  <si>
    <t>skill/109001</t>
  </si>
  <si>
    <t>撕咬</t>
  </si>
  <si>
    <t>无</t>
  </si>
  <si>
    <t>动物攻击</t>
  </si>
  <si>
    <t>skill/111001</t>
  </si>
  <si>
    <t>吐纳法</t>
  </si>
  <si>
    <t>内功</t>
  </si>
  <si>
    <t>att,7,0</t>
  </si>
  <si>
    <t>吐故纳新,气随心转</t>
  </si>
  <si>
    <t>主线剧情学习</t>
  </si>
  <si>
    <t>最适初习内功者，静感气脉之流转，吐纳之波息，实为夯实入门的不二法门。</t>
  </si>
  <si>
    <t>skill/200001</t>
  </si>
  <si>
    <t>浩然诀</t>
  </si>
  <si>
    <t>振国卫</t>
  </si>
  <si>
    <t>att,7,80</t>
  </si>
  <si>
    <t>20000201;20000202;20000203;20000204;20000205</t>
  </si>
  <si>
    <t>仁慈恻隐,节义廉退,性静情逸,守真志满,川流不息</t>
  </si>
  <si>
    <t>任务学习</t>
  </si>
  <si>
    <t>杜颜白所习武学，传闻是镇国公所亲授，内息澎湃悠远，以身证儒生意气。——浩然之气，可吞日月，正道沛然，凌御天地。</t>
  </si>
  <si>
    <t>skill/200002</t>
  </si>
  <si>
    <t>飞蝗石</t>
  </si>
  <si>
    <t>奇门-暗器</t>
  </si>
  <si>
    <t>att,5,15</t>
  </si>
  <si>
    <t>10600601;10600602;10600603</t>
  </si>
  <si>
    <t>弹飞蝗，振翅拈指，点绷簧</t>
  </si>
  <si>
    <t>弹指惊鸿，难避飞蝗，以特殊手法出手的暗器武学，颇为难缠。</t>
  </si>
  <si>
    <t>skill/106006</t>
  </si>
  <si>
    <t>轻身法</t>
  </si>
  <si>
    <t>轻功</t>
  </si>
  <si>
    <t>att,8,0</t>
  </si>
  <si>
    <t>纵身翻,轻身纵</t>
  </si>
  <si>
    <t>江湖中人常习练的轻身法，据传练至极致，身轻似羽毛，落影无痕。</t>
  </si>
  <si>
    <t>skill/300001</t>
  </si>
  <si>
    <t>铁砂掌</t>
  </si>
  <si>
    <t>黑市王家</t>
  </si>
  <si>
    <t>att,1,20</t>
  </si>
  <si>
    <t>10100301;10100302;10100303</t>
  </si>
  <si>
    <t>铁掌双分,破砂石掌,药浸柔掌</t>
  </si>
  <si>
    <t>寒砂冷铁，方可铸造双掌坚若铁石，此功法据说流传自京城黑市。</t>
  </si>
  <si>
    <t>skill/101003</t>
  </si>
  <si>
    <t>九曲枪法</t>
  </si>
  <si>
    <t>长兵</t>
  </si>
  <si>
    <t>att,4,15</t>
  </si>
  <si>
    <t>10500101;10500102;10500103</t>
  </si>
  <si>
    <t>枪回九曲,蜿蜒九变，九曲云龙现</t>
  </si>
  <si>
    <t>长枪九曲，崩，抱，横，实为战阵凌然之艺。</t>
  </si>
  <si>
    <t>skill/105001</t>
  </si>
  <si>
    <t>罗帐轻烟掌</t>
  </si>
  <si>
    <t>att,1,24</t>
  </si>
  <si>
    <t>10100401;10100402;10100403</t>
  </si>
  <si>
    <t>罗帐轻烟,轻罗回风,</t>
  </si>
  <si>
    <t>功法掌风劲力并非向前，而是向后，除非熄烛登榻，恐再无用处。</t>
  </si>
  <si>
    <t>skill/101004</t>
  </si>
  <si>
    <t>如燕功</t>
  </si>
  <si>
    <t>att,8,10</t>
  </si>
  <si>
    <t>30000201;30000202;30000203</t>
  </si>
  <si>
    <t>身轻如燕,燕子冲霄,春燕南归</t>
  </si>
  <si>
    <t>身轻如燕，自轻灵起，自足下生风，如明如燕。</t>
  </si>
  <si>
    <t>skill/300002</t>
  </si>
  <si>
    <t>运纳功</t>
  </si>
  <si>
    <t>att,7,15</t>
  </si>
  <si>
    <t>20100301;20100302;20100303</t>
  </si>
  <si>
    <t>运气纳体,周天流转,不缚外物</t>
  </si>
  <si>
    <t>气机流转，纳体周天，何运何从，百川纳归。</t>
  </si>
  <si>
    <t>skill/201003</t>
  </si>
  <si>
    <t>铁骨横练功</t>
  </si>
  <si>
    <t>att,7,24</t>
  </si>
  <si>
    <t>20100401;20100302;20100303</t>
  </si>
  <si>
    <t>横铁练体,横式文练，横练武架</t>
  </si>
  <si>
    <t>内蕴真气，铁骨横练，山川风雨岿不动，我自真气足。</t>
  </si>
  <si>
    <t>skill/201004</t>
  </si>
  <si>
    <t>横江棍法</t>
  </si>
  <si>
    <t>att,4,20</t>
  </si>
  <si>
    <t>10400201;10400202;10400203</t>
  </si>
  <si>
    <t>铁索横江,拦江铁意,如封似闭</t>
  </si>
  <si>
    <t>施展时，若铁锁横江，守势顽劲，力道雄浑。</t>
  </si>
  <si>
    <t>skill/104002</t>
  </si>
  <si>
    <t>玉洁剑法</t>
  </si>
  <si>
    <t>att,2,15</t>
  </si>
  <si>
    <t>10200401;10200402;10200403</t>
  </si>
  <si>
    <t>长剑冰清,玉洁宁心,璞玉韬光</t>
  </si>
  <si>
    <t>剑招清雅灵动，以巧取胜，多为江湖女子所习。</t>
  </si>
  <si>
    <t>skill/102004</t>
  </si>
  <si>
    <t>黑市快刀</t>
  </si>
  <si>
    <t>att,3,15</t>
  </si>
  <si>
    <t>10300301;10300302;10300303</t>
  </si>
  <si>
    <t>黑市快刀,短斤两,公秤分</t>
  </si>
  <si>
    <t>传自京城黑市王家的刀法，其刀出手之速惊人。</t>
  </si>
  <si>
    <t>skill/103003</t>
  </si>
  <si>
    <t>毒牙</t>
  </si>
  <si>
    <t>11100201</t>
  </si>
  <si>
    <t>skill/111002</t>
  </si>
  <si>
    <t>落生莲花棍</t>
  </si>
  <si>
    <t>进阶武学</t>
  </si>
  <si>
    <t>丐帮武学</t>
  </si>
  <si>
    <t>att,4,40</t>
  </si>
  <si>
    <t>10400301;10400302;10400303</t>
  </si>
  <si>
    <t>莲花落,莲不息,无穷碧，叶连天</t>
  </si>
  <si>
    <t>丐帮所传棍法，取自莲花落水成根，生生不息之意。</t>
  </si>
  <si>
    <t>skill/104003</t>
  </si>
  <si>
    <t>云隙扇法</t>
  </si>
  <si>
    <t>att,5,20</t>
  </si>
  <si>
    <t>长袖出云,藏云隐芒,云裂石惊</t>
  </si>
  <si>
    <t>或穿云间，或纵过隙，若灵蛇探洞，似骄阳裂云，出手诡谲。</t>
  </si>
  <si>
    <t>skill/108001</t>
  </si>
  <si>
    <t>太和绵掌</t>
  </si>
  <si>
    <t>真武</t>
  </si>
  <si>
    <r>
      <rPr>
        <sz val="11"/>
        <color theme="1"/>
        <rFont val="宋体"/>
        <family val="3"/>
        <charset val="134"/>
        <scheme val="minor"/>
      </rPr>
      <t>att,1,</t>
    </r>
    <r>
      <rPr>
        <sz val="11"/>
        <color theme="1"/>
        <rFont val="宋体"/>
        <family val="3"/>
        <charset val="134"/>
        <scheme val="minor"/>
      </rPr>
      <t>25</t>
    </r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</si>
  <si>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01005</t>
    </r>
    <r>
      <rPr>
        <sz val="11"/>
        <color theme="1"/>
        <rFont val="宋体"/>
        <family val="3"/>
        <charset val="134"/>
        <scheme val="minor"/>
      </rPr>
      <t>01;</t>
    </r>
    <r>
      <rPr>
        <sz val="11"/>
        <color theme="1"/>
        <rFont val="宋体"/>
        <family val="3"/>
        <charset val="134"/>
        <scheme val="minor"/>
      </rPr>
      <t>101005</t>
    </r>
    <r>
      <rPr>
        <sz val="11"/>
        <color theme="1"/>
        <rFont val="宋体"/>
        <family val="3"/>
        <charset val="134"/>
        <scheme val="minor"/>
      </rPr>
      <t>02;</t>
    </r>
    <r>
      <rPr>
        <sz val="11"/>
        <color theme="1"/>
        <rFont val="宋体"/>
        <family val="3"/>
        <charset val="134"/>
        <scheme val="minor"/>
      </rPr>
      <t>101005</t>
    </r>
    <r>
      <rPr>
        <sz val="11"/>
        <color theme="1"/>
        <rFont val="宋体"/>
        <family val="3"/>
        <charset val="134"/>
        <scheme val="minor"/>
      </rPr>
      <t>03</t>
    </r>
  </si>
  <si>
    <r>
      <rPr>
        <sz val="11"/>
        <color theme="1"/>
        <rFont val="宋体"/>
        <family val="3"/>
        <charset val="134"/>
        <scheme val="minor"/>
      </rPr>
      <t>野马分鬃,雀不飞</t>
    </r>
    <r>
      <rPr>
        <sz val="11"/>
        <color theme="1"/>
        <rFont val="宋体"/>
        <family val="3"/>
        <charset val="134"/>
        <scheme val="minor"/>
      </rPr>
      <t>,生太极</t>
    </r>
  </si>
  <si>
    <t>太和绵掌擅四两拨千斤，其势不拘于身，不困于形，自谓弱可胜强，柔中寓刚。</t>
  </si>
  <si>
    <t>skill/101005</t>
  </si>
  <si>
    <t>两仪剑法</t>
  </si>
  <si>
    <r>
      <rPr>
        <sz val="11"/>
        <color theme="1"/>
        <rFont val="宋体"/>
        <family val="3"/>
        <charset val="134"/>
        <scheme val="minor"/>
      </rPr>
      <t>att,2,</t>
    </r>
    <r>
      <rPr>
        <sz val="11"/>
        <color theme="1"/>
        <rFont val="宋体"/>
        <family val="3"/>
        <charset val="134"/>
        <scheme val="minor"/>
      </rPr>
      <t>25</t>
    </r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</si>
  <si>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02005</t>
    </r>
    <r>
      <rPr>
        <sz val="11"/>
        <color theme="1"/>
        <rFont val="宋体"/>
        <family val="3"/>
        <charset val="134"/>
        <scheme val="minor"/>
      </rPr>
      <t>01;</t>
    </r>
    <r>
      <rPr>
        <sz val="11"/>
        <color theme="1"/>
        <rFont val="宋体"/>
        <family val="3"/>
        <charset val="134"/>
        <scheme val="minor"/>
      </rPr>
      <t>102005</t>
    </r>
    <r>
      <rPr>
        <sz val="11"/>
        <color theme="1"/>
        <rFont val="宋体"/>
        <family val="3"/>
        <charset val="134"/>
        <scheme val="minor"/>
      </rPr>
      <t>02;</t>
    </r>
    <r>
      <rPr>
        <sz val="11"/>
        <color theme="1"/>
        <rFont val="宋体"/>
        <family val="3"/>
        <charset val="134"/>
        <scheme val="minor"/>
      </rPr>
      <t>102005</t>
    </r>
    <r>
      <rPr>
        <sz val="11"/>
        <color theme="1"/>
        <rFont val="宋体"/>
        <family val="3"/>
        <charset val="134"/>
        <scheme val="minor"/>
      </rPr>
      <t>03</t>
    </r>
  </si>
  <si>
    <r>
      <rPr>
        <sz val="11"/>
        <color theme="1"/>
        <rFont val="宋体"/>
        <family val="3"/>
        <charset val="134"/>
        <scheme val="minor"/>
      </rPr>
      <t>剑分阴阳,剑割昏晓</t>
    </r>
    <r>
      <rPr>
        <sz val="11"/>
        <color theme="1"/>
        <rFont val="宋体"/>
        <family val="3"/>
        <charset val="134"/>
        <scheme val="minor"/>
      </rPr>
      <t>,生太极</t>
    </r>
  </si>
  <si>
    <t>剑分阴阳，是以奇正相应，两仪相生，其寓清于浊，寓拙于巧，千般变化，不过两仪之分也。</t>
  </si>
  <si>
    <t>skill/102005</t>
  </si>
  <si>
    <t>抱元守一</t>
  </si>
  <si>
    <r>
      <rPr>
        <sz val="11"/>
        <color theme="1"/>
        <rFont val="宋体"/>
        <family val="3"/>
        <charset val="134"/>
        <scheme val="minor"/>
      </rPr>
      <t>att,7,</t>
    </r>
    <r>
      <rPr>
        <sz val="11"/>
        <color theme="1"/>
        <rFont val="宋体"/>
        <family val="3"/>
        <charset val="134"/>
        <scheme val="minor"/>
      </rPr>
      <t>25</t>
    </r>
  </si>
  <si>
    <r>
      <rPr>
        <sz val="11"/>
        <color theme="1"/>
        <rFont val="宋体"/>
        <family val="3"/>
        <charset val="134"/>
        <scheme val="minor"/>
      </rPr>
      <t>204001</t>
    </r>
    <r>
      <rPr>
        <sz val="11"/>
        <color theme="1"/>
        <rFont val="宋体"/>
        <family val="3"/>
        <charset val="134"/>
        <scheme val="minor"/>
      </rPr>
      <t>01;</t>
    </r>
    <r>
      <rPr>
        <sz val="11"/>
        <color theme="1"/>
        <rFont val="宋体"/>
        <family val="3"/>
        <charset val="134"/>
        <scheme val="minor"/>
      </rPr>
      <t>204001</t>
    </r>
    <r>
      <rPr>
        <sz val="11"/>
        <color theme="1"/>
        <rFont val="宋体"/>
        <family val="3"/>
        <charset val="134"/>
        <scheme val="minor"/>
      </rPr>
      <t>02;</t>
    </r>
    <r>
      <rPr>
        <sz val="11"/>
        <color theme="1"/>
        <rFont val="宋体"/>
        <family val="3"/>
        <charset val="134"/>
        <scheme val="minor"/>
      </rPr>
      <t>204001</t>
    </r>
    <r>
      <rPr>
        <sz val="11"/>
        <color theme="1"/>
        <rFont val="宋体"/>
        <family val="3"/>
        <charset val="134"/>
        <scheme val="minor"/>
      </rPr>
      <t>03</t>
    </r>
  </si>
  <si>
    <t>守心归一,自然之辩,太和清气</t>
  </si>
  <si>
    <t>唯神是守，与神为一，至身心相融，气神不动，方为守一。</t>
  </si>
  <si>
    <t>skill/204001</t>
  </si>
  <si>
    <t>梯云纵</t>
  </si>
  <si>
    <r>
      <rPr>
        <sz val="11"/>
        <color theme="1"/>
        <rFont val="宋体"/>
        <family val="3"/>
        <charset val="134"/>
        <scheme val="minor"/>
      </rPr>
      <t>att,8,</t>
    </r>
    <r>
      <rPr>
        <sz val="11"/>
        <color theme="1"/>
        <rFont val="宋体"/>
        <family val="3"/>
        <charset val="134"/>
        <scheme val="minor"/>
      </rPr>
      <t>25</t>
    </r>
  </si>
  <si>
    <r>
      <rPr>
        <sz val="11"/>
        <color theme="1"/>
        <rFont val="宋体"/>
        <family val="3"/>
        <charset val="134"/>
        <scheme val="minor"/>
      </rPr>
      <t>300003</t>
    </r>
    <r>
      <rPr>
        <sz val="11"/>
        <color theme="1"/>
        <rFont val="宋体"/>
        <family val="3"/>
        <charset val="134"/>
        <scheme val="minor"/>
      </rPr>
      <t>01;</t>
    </r>
    <r>
      <rPr>
        <sz val="11"/>
        <color theme="1"/>
        <rFont val="宋体"/>
        <family val="3"/>
        <charset val="134"/>
        <scheme val="minor"/>
      </rPr>
      <t>300003</t>
    </r>
    <r>
      <rPr>
        <sz val="11"/>
        <color theme="1"/>
        <rFont val="宋体"/>
        <family val="3"/>
        <charset val="134"/>
        <scheme val="minor"/>
      </rPr>
      <t>02;</t>
    </r>
    <r>
      <rPr>
        <sz val="11"/>
        <color theme="1"/>
        <rFont val="宋体"/>
        <family val="3"/>
        <charset val="134"/>
        <scheme val="minor"/>
      </rPr>
      <t>300003</t>
    </r>
    <r>
      <rPr>
        <sz val="11"/>
        <color theme="1"/>
        <rFont val="宋体"/>
        <family val="3"/>
        <charset val="134"/>
        <scheme val="minor"/>
      </rPr>
      <t>03</t>
    </r>
  </si>
  <si>
    <t>纵青云,踏云烟,唤云气</t>
  </si>
  <si>
    <t>真武轻身功法，施展时，直上不坠，如梯云而览胜，履气而升空，凌然仙姿也。</t>
  </si>
  <si>
    <t>skill/300003</t>
  </si>
  <si>
    <t>猛獒拳（敌）</t>
  </si>
  <si>
    <t>10190201;10190202</t>
  </si>
  <si>
    <t>开山刀法（敌）</t>
  </si>
  <si>
    <t>10390201;10390202</t>
  </si>
  <si>
    <t>披麻锤法（敌）</t>
  </si>
  <si>
    <t>奇门-钝器</t>
  </si>
  <si>
    <t>10790101;10790102</t>
  </si>
  <si>
    <t>勾栏鞭法（敌）</t>
  </si>
  <si>
    <t>10990101;10990102</t>
  </si>
  <si>
    <t>铁砂掌（敌）</t>
  </si>
  <si>
    <t>10190301;10190302;10190303</t>
  </si>
  <si>
    <t>九曲枪法（敌）</t>
  </si>
  <si>
    <t>10590101;10590102;10590103</t>
  </si>
  <si>
    <t>罗帐轻烟掌（敌）</t>
  </si>
  <si>
    <t>10190401;10190402;10190403</t>
  </si>
  <si>
    <t>横江棍法（敌）</t>
  </si>
  <si>
    <t>10490201;10490202;10490203</t>
  </si>
  <si>
    <t>玉洁剑法（敌）</t>
  </si>
  <si>
    <t>10290401;10290402;10290403</t>
  </si>
  <si>
    <t>黑市快刀（敌）</t>
  </si>
  <si>
    <t>10390301;10390302;10390303</t>
  </si>
  <si>
    <t>落生莲花棍（敌）</t>
  </si>
  <si>
    <t>10490301;10490302;10490303</t>
  </si>
  <si>
    <t>云隙扇法（敌）</t>
  </si>
  <si>
    <t>奇门-利器</t>
  </si>
  <si>
    <t>10890101;10890102;10890103</t>
  </si>
  <si>
    <t>通用武功(拳脚)</t>
  </si>
  <si>
    <t>没啥讲的，就是通用武学</t>
  </si>
  <si>
    <t>通用武功(剑术)</t>
  </si>
  <si>
    <t>通用武功(刀法)</t>
  </si>
  <si>
    <t>通用武功(长兵)</t>
  </si>
  <si>
    <t>通用武功(奇门)</t>
  </si>
  <si>
    <t>通用武功(火器)</t>
  </si>
  <si>
    <t>技能等级ID</t>
  </si>
  <si>
    <t>关联技能</t>
  </si>
  <si>
    <t>对应等级</t>
  </si>
  <si>
    <t>对应显示</t>
  </si>
  <si>
    <t>升级所需阅历</t>
  </si>
  <si>
    <t>升级后冷却时间</t>
  </si>
  <si>
    <t>效果</t>
  </si>
  <si>
    <t>开放招式</t>
  </si>
  <si>
    <t>造诣加点</t>
  </si>
  <si>
    <t>备注</t>
  </si>
  <si>
    <t>parentId</t>
  </si>
  <si>
    <t>show</t>
  </si>
  <si>
    <t>lvUpNeed</t>
  </si>
  <si>
    <t>cooldown</t>
  </si>
  <si>
    <t>effect</t>
  </si>
  <si>
    <t>open</t>
  </si>
  <si>
    <t>addPoint</t>
  </si>
  <si>
    <t>一重/十重</t>
  </si>
  <si>
    <t>*0:00:00</t>
  </si>
  <si>
    <t>act,10;block,2</t>
  </si>
  <si>
    <t>att,1,1</t>
  </si>
  <si>
    <t>二重/十重</t>
  </si>
  <si>
    <t>*0:02:00</t>
  </si>
  <si>
    <t>act,15;block,4</t>
  </si>
  <si>
    <t>三重/十重</t>
  </si>
  <si>
    <t>*0:03:00</t>
  </si>
  <si>
    <t>act,20;block,6</t>
  </si>
  <si>
    <t>四重/十重</t>
  </si>
  <si>
    <t>*0:05:00</t>
  </si>
  <si>
    <t>act,25;block,9</t>
  </si>
  <si>
    <t>att,1,2</t>
  </si>
  <si>
    <t>五重/十重</t>
  </si>
  <si>
    <t>*0:08:00</t>
  </si>
  <si>
    <t>act,30;block,12</t>
  </si>
  <si>
    <t>六重/十重</t>
  </si>
  <si>
    <t>*0:13:00</t>
  </si>
  <si>
    <t>act,40;block,15</t>
  </si>
  <si>
    <t>七重/十重</t>
  </si>
  <si>
    <t>*0:21:00</t>
  </si>
  <si>
    <t>act,50;block,18</t>
  </si>
  <si>
    <t>att,1,3</t>
  </si>
  <si>
    <t>八重/十重</t>
  </si>
  <si>
    <t>*0:34:00</t>
  </si>
  <si>
    <t>act,60;block,22</t>
  </si>
  <si>
    <t>九重/十重</t>
  </si>
  <si>
    <t>*0:55:00</t>
  </si>
  <si>
    <t>act,80;block,26</t>
  </si>
  <si>
    <t>att,1,4</t>
  </si>
  <si>
    <t>大圆满</t>
  </si>
  <si>
    <t>*1:29:00</t>
  </si>
  <si>
    <t>act,100;block,30</t>
  </si>
  <si>
    <t>act,8;block,0</t>
  </si>
  <si>
    <t>act,13;block,1</t>
  </si>
  <si>
    <t>act,17;block,2</t>
  </si>
  <si>
    <t>act,22;block,4</t>
  </si>
  <si>
    <t>act,27;block,6</t>
  </si>
  <si>
    <t>act,32;block,8</t>
  </si>
  <si>
    <t>act,39;block,11</t>
  </si>
  <si>
    <t>act,45;block,14</t>
  </si>
  <si>
    <t>act,53;block,18</t>
  </si>
  <si>
    <t>act,75;block,22</t>
  </si>
  <si>
    <t>act,8;block,4</t>
  </si>
  <si>
    <t>att,2,1</t>
  </si>
  <si>
    <t>act,13;block,6</t>
  </si>
  <si>
    <t>act,17;block,9</t>
  </si>
  <si>
    <t>act,23;block,13</t>
  </si>
  <si>
    <t>att,2,2</t>
  </si>
  <si>
    <t>act,27;block,17</t>
  </si>
  <si>
    <t>act,36;block,20</t>
  </si>
  <si>
    <t>act,45;block,27</t>
  </si>
  <si>
    <t>att,2,3</t>
  </si>
  <si>
    <t>act,56;block,36</t>
  </si>
  <si>
    <t>act,70;block,42</t>
  </si>
  <si>
    <t>att,2,4</t>
  </si>
  <si>
    <t>act,92;block,54</t>
  </si>
  <si>
    <t>att,2,5</t>
  </si>
  <si>
    <t>act,20;block,10</t>
  </si>
  <si>
    <t>*0:10:00</t>
  </si>
  <si>
    <t>act,30;block,15</t>
  </si>
  <si>
    <t>*0:15:00</t>
  </si>
  <si>
    <t>act,40;block,25</t>
  </si>
  <si>
    <t>*0:25:00</t>
  </si>
  <si>
    <t>act,50;block,30</t>
  </si>
  <si>
    <t>*0:40:00</t>
  </si>
  <si>
    <t>act,60;block,36</t>
  </si>
  <si>
    <t>*1:00:00</t>
  </si>
  <si>
    <t>act,75;block,42</t>
  </si>
  <si>
    <t>*1:30:00</t>
  </si>
  <si>
    <t>act,90;block,50</t>
  </si>
  <si>
    <t>att,2,6</t>
  </si>
  <si>
    <t>*2:00:00</t>
  </si>
  <si>
    <t>act,115;block,60</t>
  </si>
  <si>
    <t>*2:30:00</t>
  </si>
  <si>
    <t>act,135;block,70</t>
  </si>
  <si>
    <t>att,2,7</t>
  </si>
  <si>
    <t>*4:05:00</t>
  </si>
  <si>
    <t>act,186;block,80</t>
  </si>
  <si>
    <t>att,2,8</t>
  </si>
  <si>
    <t>act,290;block,64</t>
  </si>
  <si>
    <t>*0:20:00</t>
  </si>
  <si>
    <t>act,320;block,72</t>
  </si>
  <si>
    <t>*00:40:00</t>
  </si>
  <si>
    <t>act,480;block,81</t>
  </si>
  <si>
    <t>act,540;block,96</t>
  </si>
  <si>
    <t>act,640;block,108</t>
  </si>
  <si>
    <t>*3:00:00</t>
  </si>
  <si>
    <t>act,720;block,128</t>
  </si>
  <si>
    <t>att,2,25</t>
  </si>
  <si>
    <t>*5:00:00</t>
  </si>
  <si>
    <t>act,810;block,168</t>
  </si>
  <si>
    <t>*8:00:00</t>
  </si>
  <si>
    <t>act,960;block,221</t>
  </si>
  <si>
    <t>att,2,30</t>
  </si>
  <si>
    <t>*12:00:00</t>
  </si>
  <si>
    <t>act,1080;block,256</t>
  </si>
  <si>
    <t>*15:00:0</t>
  </si>
  <si>
    <t>act,1280;block,320</t>
  </si>
  <si>
    <t>act,9;block,6</t>
  </si>
  <si>
    <t>att,3,1</t>
  </si>
  <si>
    <t>act,12;block,10</t>
  </si>
  <si>
    <t>act,16;block,14</t>
  </si>
  <si>
    <t>act,21;block,19</t>
  </si>
  <si>
    <t>att,3,2</t>
  </si>
  <si>
    <t>act,27;block,26</t>
  </si>
  <si>
    <t>act,33;block,32</t>
  </si>
  <si>
    <t>act,45;block,39</t>
  </si>
  <si>
    <t>att,3,3</t>
  </si>
  <si>
    <t>act,56;block,43</t>
  </si>
  <si>
    <t>act,72;block,56</t>
  </si>
  <si>
    <t>att,3,4</t>
  </si>
  <si>
    <t>act,89;block,65</t>
  </si>
  <si>
    <t>act,10;block,4</t>
  </si>
  <si>
    <t>act,14;block,10</t>
  </si>
  <si>
    <t>act,11;block,4</t>
  </si>
  <si>
    <t>att,4,1</t>
  </si>
  <si>
    <t>act,16;block,8</t>
  </si>
  <si>
    <t>act,20;block,12</t>
  </si>
  <si>
    <t>act,26;block,18</t>
  </si>
  <si>
    <t>att,4,2</t>
  </si>
  <si>
    <t>act,32;block,24</t>
  </si>
  <si>
    <t>act,40;block,30</t>
  </si>
  <si>
    <t>act,50;block,38</t>
  </si>
  <si>
    <t>att,4,3</t>
  </si>
  <si>
    <t>act,62;block,45</t>
  </si>
  <si>
    <t>act,80;block,56</t>
  </si>
  <si>
    <t>att,4,4</t>
  </si>
  <si>
    <t>act,108;block,65</t>
  </si>
  <si>
    <t>att,4,5</t>
  </si>
  <si>
    <t>act,12;block,2</t>
  </si>
  <si>
    <t>att,5,2</t>
  </si>
  <si>
    <t>act,16;block,4</t>
  </si>
  <si>
    <t>act,22;block,6</t>
  </si>
  <si>
    <t>act,28;block,8</t>
  </si>
  <si>
    <t>act,34;block,12</t>
  </si>
  <si>
    <t>att,5,3</t>
  </si>
  <si>
    <t>act,40;block,16</t>
  </si>
  <si>
    <t>act,46;block,20</t>
  </si>
  <si>
    <t>act,52;block,25</t>
  </si>
  <si>
    <t>att,5,4</t>
  </si>
  <si>
    <t>act,58;block,30</t>
  </si>
  <si>
    <t>act,78;block,35</t>
  </si>
  <si>
    <t>att,5,5</t>
  </si>
  <si>
    <t>act,16;block,1</t>
  </si>
  <si>
    <t>act,20;block,2</t>
  </si>
  <si>
    <t>act,24;block,4</t>
  </si>
  <si>
    <t>act,30;block,6</t>
  </si>
  <si>
    <t>act,36;block,8</t>
  </si>
  <si>
    <t>act,44;block,12</t>
  </si>
  <si>
    <t>act,52;block,16</t>
  </si>
  <si>
    <t>act,62;block,20</t>
  </si>
  <si>
    <t>act,72;block,24</t>
  </si>
  <si>
    <t>act,84;block,30</t>
  </si>
  <si>
    <t>act,10</t>
  </si>
  <si>
    <t>act,14</t>
  </si>
  <si>
    <t>act,16</t>
  </si>
  <si>
    <t>act,21</t>
  </si>
  <si>
    <t>act,27</t>
  </si>
  <si>
    <t>act,33</t>
  </si>
  <si>
    <t>act,45</t>
  </si>
  <si>
    <t>act,56</t>
  </si>
  <si>
    <t>act,72</t>
  </si>
  <si>
    <t>act,89</t>
  </si>
  <si>
    <t>hp_max,12;mp_max,8</t>
  </si>
  <si>
    <t>att,7,2</t>
  </si>
  <si>
    <t>hp_max,20;mp_max,12</t>
  </si>
  <si>
    <t>hp_max,28;mp_max,16</t>
  </si>
  <si>
    <t>hp_max,38;mp_max,20</t>
  </si>
  <si>
    <t>hp_max,50;mp_max,26</t>
  </si>
  <si>
    <t>att,7,3</t>
  </si>
  <si>
    <t>hp_max,64;mp_max,32</t>
  </si>
  <si>
    <t>hp_max,78;mp_max,42</t>
  </si>
  <si>
    <t>hp_max,90;mp_max,52</t>
  </si>
  <si>
    <t>att,7,4</t>
  </si>
  <si>
    <t>hp_max,110;mp_max,62</t>
  </si>
  <si>
    <t>hp_max,142;mp_max,74</t>
  </si>
  <si>
    <t>att,7,5</t>
  </si>
  <si>
    <t>hp_max,980;mp_max,430</t>
  </si>
  <si>
    <t>hp_max,1200;mp_max,520</t>
  </si>
  <si>
    <t>hp_max,1660;mp_max,600</t>
  </si>
  <si>
    <t>att,7,20</t>
  </si>
  <si>
    <t>hp_max,1980;mp_max,720</t>
  </si>
  <si>
    <t>hp_max,2600;mp_max,840</t>
  </si>
  <si>
    <t>hp_max,3280;mp_max,960</t>
  </si>
  <si>
    <t>att,7,25</t>
  </si>
  <si>
    <t>hp_max,4060;mp_max,1080</t>
  </si>
  <si>
    <t>hp_max,4920;mp_max,1200</t>
  </si>
  <si>
    <t>att,7,30</t>
  </si>
  <si>
    <t>hp_max,5800;mp_max,1350</t>
  </si>
  <si>
    <t>hp_max,7000;mp_max,1500</t>
  </si>
  <si>
    <t>act,15;aim,10</t>
  </si>
  <si>
    <t>act,22;aim,18</t>
  </si>
  <si>
    <t>act,32;aim,26</t>
  </si>
  <si>
    <t>act,44;aim,35</t>
  </si>
  <si>
    <t>act,57;aim,44</t>
  </si>
  <si>
    <t>act,68;aim,57</t>
  </si>
  <si>
    <t>act,80;aim,66</t>
  </si>
  <si>
    <t>att,5,6</t>
  </si>
  <si>
    <t>act,96;aim,72</t>
  </si>
  <si>
    <t>act,111;aim,81</t>
  </si>
  <si>
    <t>att,5,7</t>
  </si>
  <si>
    <t>act,135;aim,99</t>
  </si>
  <si>
    <t>att,5,8</t>
  </si>
  <si>
    <t>speed,12;evade,6</t>
  </si>
  <si>
    <t>att,8,2</t>
  </si>
  <si>
    <t>speed,16;evade,10</t>
  </si>
  <si>
    <t>speed,21;evade,14</t>
  </si>
  <si>
    <t>speed,27;evade,19</t>
  </si>
  <si>
    <t>speed,33;evade,26</t>
  </si>
  <si>
    <t>att,8,3</t>
  </si>
  <si>
    <t>speed,45;evade,32</t>
  </si>
  <si>
    <t>speed,56;evade,39</t>
  </si>
  <si>
    <t>speed,72;evade,43</t>
  </si>
  <si>
    <t>att,8,4</t>
  </si>
  <si>
    <t>speed,89;evade,56</t>
  </si>
  <si>
    <t>speed,108;evade,65</t>
  </si>
  <si>
    <t>att,8,5</t>
  </si>
  <si>
    <t>act,18;block,6</t>
  </si>
  <si>
    <t>act,26;block,10</t>
  </si>
  <si>
    <t>act,34;block,16</t>
  </si>
  <si>
    <t>act,43;block,24</t>
  </si>
  <si>
    <t>act,55;block,32</t>
  </si>
  <si>
    <t>act,68;block,40</t>
  </si>
  <si>
    <t>act,81;block,50</t>
  </si>
  <si>
    <t>att,1,6</t>
  </si>
  <si>
    <t>act,138;block,75</t>
  </si>
  <si>
    <t>att,1,7</t>
  </si>
  <si>
    <t>act,159;block,90</t>
  </si>
  <si>
    <t>att,1,8</t>
  </si>
  <si>
    <t>act,26;block,8</t>
  </si>
  <si>
    <t>act,42;block,24</t>
  </si>
  <si>
    <t>act,56;block,34</t>
  </si>
  <si>
    <t>act,72;block,44</t>
  </si>
  <si>
    <t>act,94;block,60</t>
  </si>
  <si>
    <t>act,116;block,76</t>
  </si>
  <si>
    <t>att,4,6</t>
  </si>
  <si>
    <t>act,132;block,90</t>
  </si>
  <si>
    <t>act,158;block,118</t>
  </si>
  <si>
    <t>att,4,7</t>
  </si>
  <si>
    <t>act,171;block,138</t>
  </si>
  <si>
    <t>att,4,8</t>
  </si>
  <si>
    <t>act,16;block,7</t>
  </si>
  <si>
    <t>act,24;block,14</t>
  </si>
  <si>
    <t>act,32;block,21</t>
  </si>
  <si>
    <t>act,48;block,30</t>
  </si>
  <si>
    <t>act,64;block,40</t>
  </si>
  <si>
    <t>act,72;block,52</t>
  </si>
  <si>
    <t>act,81;block,64</t>
  </si>
  <si>
    <t>act,98;block,76</t>
  </si>
  <si>
    <t>act,116;block,88</t>
  </si>
  <si>
    <t>act,140;block,100</t>
  </si>
  <si>
    <t>speed,32;evade,16</t>
  </si>
  <si>
    <t>speed,48;evade,24</t>
  </si>
  <si>
    <t>speed,64;evade,32</t>
  </si>
  <si>
    <t>speed,80;evade,40</t>
  </si>
  <si>
    <t>speed,96;evade,48</t>
  </si>
  <si>
    <t>speed,110;evade,55</t>
  </si>
  <si>
    <t>speed,132;evade,66</t>
  </si>
  <si>
    <t>att,8,6</t>
  </si>
  <si>
    <t>speed,154;evade,77</t>
  </si>
  <si>
    <t>speed,176;evade,88</t>
  </si>
  <si>
    <t>att,8,7</t>
  </si>
  <si>
    <t>speed,200;evade,100</t>
  </si>
  <si>
    <t>att,8,8</t>
  </si>
  <si>
    <t>att,7,6</t>
  </si>
  <si>
    <t>hp_max,160;mp_max,86</t>
  </si>
  <si>
    <t>hp_max,196;mp_max,98</t>
  </si>
  <si>
    <t>att,7,7</t>
  </si>
  <si>
    <t>hp_max,230;mp_max,116</t>
  </si>
  <si>
    <t>att,7,8</t>
  </si>
  <si>
    <t>hp_max,40;def,20</t>
  </si>
  <si>
    <t>hp_max,50;def,27</t>
  </si>
  <si>
    <t>hp_max,60;def,34</t>
  </si>
  <si>
    <t>hp_max,80;def,41</t>
  </si>
  <si>
    <t>hp_max,100;def,51</t>
  </si>
  <si>
    <t>hp_max,130;def,61</t>
  </si>
  <si>
    <t>hp_max,160;def,71</t>
  </si>
  <si>
    <t>hp_max,190;def,84</t>
  </si>
  <si>
    <t>hp_max,220;def,108</t>
  </si>
  <si>
    <t>hp_max,260;def,130</t>
  </si>
  <si>
    <t>act,18;block,15</t>
  </si>
  <si>
    <t>act,26;block,22</t>
  </si>
  <si>
    <t>act,34;block,29</t>
  </si>
  <si>
    <t>act,42;block,36</t>
  </si>
  <si>
    <t>act,54;block,46</t>
  </si>
  <si>
    <t>act,66;block,56</t>
  </si>
  <si>
    <t>act,86;block,66</t>
  </si>
  <si>
    <t>act,114;block,96</t>
  </si>
  <si>
    <t>act,147;block,128</t>
  </si>
  <si>
    <t>act,177;block,158</t>
  </si>
  <si>
    <t>act,32;block,16</t>
  </si>
  <si>
    <t>act,40;block,24</t>
  </si>
  <si>
    <t>act,50;block,32</t>
  </si>
  <si>
    <t>act,61;block,44</t>
  </si>
  <si>
    <t>act,74;block,52</t>
  </si>
  <si>
    <t>act,88;block,60</t>
  </si>
  <si>
    <t>act,100;block,68</t>
  </si>
  <si>
    <t>act,118;block,72</t>
  </si>
  <si>
    <t>act,138;block,76</t>
  </si>
  <si>
    <t>act,159;block,78</t>
  </si>
  <si>
    <t>act,26;block,15</t>
  </si>
  <si>
    <t>act,36;block,19</t>
  </si>
  <si>
    <t>act,46;block,24</t>
  </si>
  <si>
    <t>act,56;block,32</t>
  </si>
  <si>
    <t>act,66;block,40</t>
  </si>
  <si>
    <t>act,86;block,58</t>
  </si>
  <si>
    <t>act,106;block,66</t>
  </si>
  <si>
    <t>att,3,6</t>
  </si>
  <si>
    <t>act,128;block,72</t>
  </si>
  <si>
    <t>act,144;block,78</t>
  </si>
  <si>
    <t>att,3,7</t>
  </si>
  <si>
    <t>act,168;block,81</t>
  </si>
  <si>
    <t>att,3,8</t>
  </si>
  <si>
    <t>act,32</t>
  </si>
  <si>
    <t>act,43</t>
  </si>
  <si>
    <t>act,54</t>
  </si>
  <si>
    <t>act,95</t>
  </si>
  <si>
    <t>act,109</t>
  </si>
  <si>
    <t>act,128</t>
  </si>
  <si>
    <t>act,157</t>
  </si>
  <si>
    <t>act,183</t>
  </si>
  <si>
    <t>act,45;block,45</t>
  </si>
  <si>
    <t>att,4,10</t>
  </si>
  <si>
    <t>*0:30:00</t>
  </si>
  <si>
    <t>act,65;block,72</t>
  </si>
  <si>
    <t>act,88;block,90</t>
  </si>
  <si>
    <t>att,4,13</t>
  </si>
  <si>
    <t>act,110;block,112</t>
  </si>
  <si>
    <t>act,135;block,128</t>
  </si>
  <si>
    <t>*4:00:00</t>
  </si>
  <si>
    <t>act,168;block,145</t>
  </si>
  <si>
    <t>att,4,18</t>
  </si>
  <si>
    <t>*6:00:00</t>
  </si>
  <si>
    <t>act,198;block,172</t>
  </si>
  <si>
    <t>act,232;block,190</t>
  </si>
  <si>
    <t>*10:00:00</t>
  </si>
  <si>
    <t>act,265;block,210</t>
  </si>
  <si>
    <t>*15:00:00</t>
  </si>
  <si>
    <t>act,296;block,244</t>
  </si>
  <si>
    <t>act,20;block,20</t>
  </si>
  <si>
    <t>act,35;block,30</t>
  </si>
  <si>
    <t>act,45;block,40</t>
  </si>
  <si>
    <t>act,70;block,60</t>
  </si>
  <si>
    <t>act,90;block,80</t>
  </si>
  <si>
    <t>act,110;block,100</t>
  </si>
  <si>
    <t>act,130;block,120</t>
  </si>
  <si>
    <t>act,150;block,130</t>
  </si>
  <si>
    <t>act,170;block,150</t>
  </si>
  <si>
    <t>act,190;block,160</t>
  </si>
  <si>
    <r>
      <rPr>
        <sz val="11"/>
        <color theme="1"/>
        <rFont val="宋体"/>
        <family val="3"/>
        <charset val="134"/>
        <scheme val="minor"/>
      </rPr>
      <t>act,28</t>
    </r>
    <r>
      <rPr>
        <sz val="11"/>
        <color theme="1"/>
        <rFont val="宋体"/>
        <family val="3"/>
        <charset val="134"/>
        <scheme val="minor"/>
      </rPr>
      <t>;block,</t>
    </r>
    <r>
      <rPr>
        <sz val="11"/>
        <color theme="1"/>
        <rFont val="宋体"/>
        <family val="3"/>
        <charset val="134"/>
        <scheme val="minor"/>
      </rPr>
      <t>24</t>
    </r>
  </si>
  <si>
    <r>
      <rPr>
        <sz val="11"/>
        <color theme="1"/>
        <rFont val="宋体"/>
        <family val="3"/>
        <charset val="134"/>
        <scheme val="minor"/>
      </rPr>
      <t>att,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,4</t>
    </r>
  </si>
  <si>
    <r>
      <rPr>
        <sz val="11"/>
        <color theme="1"/>
        <rFont val="宋体"/>
        <family val="3"/>
        <charset val="134"/>
        <scheme val="minor"/>
      </rPr>
      <t>act,40</t>
    </r>
    <r>
      <rPr>
        <sz val="11"/>
        <color theme="1"/>
        <rFont val="宋体"/>
        <family val="3"/>
        <charset val="134"/>
        <scheme val="minor"/>
      </rPr>
      <t>;block,3</t>
    </r>
    <r>
      <rPr>
        <sz val="11"/>
        <color theme="1"/>
        <rFont val="宋体"/>
        <family val="3"/>
        <charset val="134"/>
        <scheme val="minor"/>
      </rPr>
      <t>4</t>
    </r>
  </si>
  <si>
    <t>act,52;block,44</t>
  </si>
  <si>
    <r>
      <rPr>
        <sz val="11"/>
        <color theme="1"/>
        <rFont val="宋体"/>
        <family val="3"/>
        <charset val="134"/>
        <scheme val="minor"/>
      </rPr>
      <t>att,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,5</t>
    </r>
  </si>
  <si>
    <t>act,64;block,65</t>
  </si>
  <si>
    <t>act,76;block,88</t>
  </si>
  <si>
    <r>
      <rPr>
        <sz val="11"/>
        <color theme="1"/>
        <rFont val="宋体"/>
        <family val="3"/>
        <charset val="134"/>
        <scheme val="minor"/>
      </rPr>
      <t>act,86;block,11</t>
    </r>
    <r>
      <rPr>
        <sz val="11"/>
        <color theme="1"/>
        <rFont val="宋体"/>
        <family val="3"/>
        <charset val="134"/>
        <scheme val="minor"/>
      </rPr>
      <t>0</t>
    </r>
  </si>
  <si>
    <t>act,106;block,132</t>
  </si>
  <si>
    <r>
      <rPr>
        <sz val="11"/>
        <color theme="1"/>
        <rFont val="宋体"/>
        <family val="3"/>
        <charset val="134"/>
        <scheme val="minor"/>
      </rPr>
      <t>att,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,6</t>
    </r>
  </si>
  <si>
    <t>act,128;block,155</t>
  </si>
  <si>
    <t>act,140;block,168</t>
  </si>
  <si>
    <r>
      <rPr>
        <sz val="11"/>
        <color theme="1"/>
        <rFont val="宋体"/>
        <family val="3"/>
        <charset val="134"/>
        <scheme val="minor"/>
      </rPr>
      <t>att,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,7</t>
    </r>
  </si>
  <si>
    <t>act,168;block,189</t>
  </si>
  <si>
    <r>
      <rPr>
        <sz val="11"/>
        <color theme="1"/>
        <rFont val="宋体"/>
        <family val="3"/>
        <charset val="134"/>
        <scheme val="minor"/>
      </rPr>
      <t>att,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,8</t>
    </r>
  </si>
  <si>
    <r>
      <rPr>
        <sz val="11"/>
        <color theme="1"/>
        <rFont val="宋体"/>
        <family val="3"/>
        <charset val="134"/>
        <scheme val="minor"/>
      </rPr>
      <t>act,26</t>
    </r>
    <r>
      <rPr>
        <sz val="11"/>
        <color theme="1"/>
        <rFont val="宋体"/>
        <family val="3"/>
        <charset val="134"/>
        <scheme val="minor"/>
      </rPr>
      <t>;block,1</t>
    </r>
    <r>
      <rPr>
        <sz val="11"/>
        <color theme="1"/>
        <rFont val="宋体"/>
        <family val="3"/>
        <charset val="134"/>
        <scheme val="minor"/>
      </rPr>
      <t>6</t>
    </r>
  </si>
  <si>
    <r>
      <rPr>
        <sz val="11"/>
        <color theme="1"/>
        <rFont val="宋体"/>
        <family val="3"/>
        <charset val="134"/>
        <scheme val="minor"/>
      </rPr>
      <t>act,40</t>
    </r>
    <r>
      <rPr>
        <sz val="11"/>
        <color theme="1"/>
        <rFont val="宋体"/>
        <family val="3"/>
        <charset val="134"/>
        <scheme val="minor"/>
      </rPr>
      <t>;block,</t>
    </r>
    <r>
      <rPr>
        <sz val="11"/>
        <color theme="1"/>
        <rFont val="宋体"/>
        <family val="3"/>
        <charset val="134"/>
        <scheme val="minor"/>
      </rPr>
      <t>25</t>
    </r>
  </si>
  <si>
    <r>
      <rPr>
        <sz val="11"/>
        <color theme="1"/>
        <rFont val="宋体"/>
        <family val="3"/>
        <charset val="134"/>
        <scheme val="minor"/>
      </rPr>
      <t>act,54</t>
    </r>
    <r>
      <rPr>
        <sz val="11"/>
        <color theme="1"/>
        <rFont val="宋体"/>
        <family val="3"/>
        <charset val="134"/>
        <scheme val="minor"/>
      </rPr>
      <t>;block,</t>
    </r>
    <r>
      <rPr>
        <sz val="11"/>
        <color theme="1"/>
        <rFont val="宋体"/>
        <family val="3"/>
        <charset val="134"/>
        <scheme val="minor"/>
      </rPr>
      <t>34</t>
    </r>
  </si>
  <si>
    <r>
      <rPr>
        <sz val="11"/>
        <color theme="1"/>
        <rFont val="宋体"/>
        <family val="3"/>
        <charset val="134"/>
        <scheme val="minor"/>
      </rPr>
      <t>act,68</t>
    </r>
    <r>
      <rPr>
        <sz val="11"/>
        <color theme="1"/>
        <rFont val="宋体"/>
        <family val="3"/>
        <charset val="134"/>
        <scheme val="minor"/>
      </rPr>
      <t>;block,</t>
    </r>
    <r>
      <rPr>
        <sz val="11"/>
        <color theme="1"/>
        <rFont val="宋体"/>
        <family val="3"/>
        <charset val="134"/>
        <scheme val="minor"/>
      </rPr>
      <t>40</t>
    </r>
  </si>
  <si>
    <r>
      <rPr>
        <sz val="11"/>
        <color theme="1"/>
        <rFont val="宋体"/>
        <family val="3"/>
        <charset val="134"/>
        <scheme val="minor"/>
      </rPr>
      <t>act,80</t>
    </r>
    <r>
      <rPr>
        <sz val="11"/>
        <color theme="1"/>
        <rFont val="宋体"/>
        <family val="3"/>
        <charset val="134"/>
        <scheme val="minor"/>
      </rPr>
      <t>;block,</t>
    </r>
    <r>
      <rPr>
        <sz val="11"/>
        <color theme="1"/>
        <rFont val="宋体"/>
        <family val="3"/>
        <charset val="134"/>
        <scheme val="minor"/>
      </rPr>
      <t>50</t>
    </r>
  </si>
  <si>
    <r>
      <rPr>
        <sz val="11"/>
        <color theme="1"/>
        <rFont val="宋体"/>
        <family val="3"/>
        <charset val="134"/>
        <scheme val="minor"/>
      </rPr>
      <t>act,100</t>
    </r>
    <r>
      <rPr>
        <sz val="11"/>
        <color theme="1"/>
        <rFont val="宋体"/>
        <family val="3"/>
        <charset val="134"/>
        <scheme val="minor"/>
      </rPr>
      <t>;block,</t>
    </r>
    <r>
      <rPr>
        <sz val="11"/>
        <color theme="1"/>
        <rFont val="宋体"/>
        <family val="3"/>
        <charset val="134"/>
        <scheme val="minor"/>
      </rPr>
      <t>66</t>
    </r>
  </si>
  <si>
    <r>
      <rPr>
        <sz val="11"/>
        <color theme="1"/>
        <rFont val="宋体"/>
        <family val="3"/>
        <charset val="134"/>
        <scheme val="minor"/>
      </rPr>
      <t>act,123</t>
    </r>
    <r>
      <rPr>
        <sz val="11"/>
        <color theme="1"/>
        <rFont val="宋体"/>
        <family val="3"/>
        <charset val="134"/>
        <scheme val="minor"/>
      </rPr>
      <t>;block,</t>
    </r>
    <r>
      <rPr>
        <sz val="11"/>
        <color theme="1"/>
        <rFont val="宋体"/>
        <family val="3"/>
        <charset val="134"/>
        <scheme val="minor"/>
      </rPr>
      <t>78</t>
    </r>
  </si>
  <si>
    <t>act,146;block,92</t>
  </si>
  <si>
    <r>
      <rPr>
        <sz val="11"/>
        <color theme="1"/>
        <rFont val="宋体"/>
        <family val="3"/>
        <charset val="134"/>
        <scheme val="minor"/>
      </rPr>
      <t>act,168</t>
    </r>
    <r>
      <rPr>
        <sz val="11"/>
        <color theme="1"/>
        <rFont val="宋体"/>
        <family val="3"/>
        <charset val="134"/>
        <scheme val="minor"/>
      </rPr>
      <t>;block,</t>
    </r>
    <r>
      <rPr>
        <sz val="11"/>
        <color theme="1"/>
        <rFont val="宋体"/>
        <family val="3"/>
        <charset val="134"/>
        <scheme val="minor"/>
      </rPr>
      <t>128</t>
    </r>
  </si>
  <si>
    <t>act,190;block,150</t>
  </si>
  <si>
    <r>
      <rPr>
        <sz val="11"/>
        <color theme="1"/>
        <rFont val="宋体"/>
        <family val="3"/>
        <charset val="134"/>
        <scheme val="minor"/>
      </rPr>
      <t>hp_max,</t>
    </r>
    <r>
      <rPr>
        <sz val="11"/>
        <color theme="1"/>
        <rFont val="宋体"/>
        <family val="3"/>
        <charset val="134"/>
        <scheme val="minor"/>
      </rPr>
      <t>45</t>
    </r>
    <r>
      <rPr>
        <sz val="11"/>
        <color theme="1"/>
        <rFont val="宋体"/>
        <family val="3"/>
        <charset val="134"/>
        <scheme val="minor"/>
      </rPr>
      <t>;mp_max,2</t>
    </r>
    <r>
      <rPr>
        <sz val="11"/>
        <color theme="1"/>
        <rFont val="宋体"/>
        <family val="3"/>
        <charset val="134"/>
        <scheme val="minor"/>
      </rPr>
      <t>6</t>
    </r>
  </si>
  <si>
    <t>hp_max,60;mp_max,32</t>
  </si>
  <si>
    <t>hp_max,75;mp_max,42</t>
  </si>
  <si>
    <t>hp_max,105;mp_max,62</t>
  </si>
  <si>
    <t>hp_max,120;mp_max,74</t>
  </si>
  <si>
    <t>hp_max,180;mp_max,98</t>
  </si>
  <si>
    <t>hp_max,215;mp_max,116</t>
  </si>
  <si>
    <t>hp_max,250;mp_max,130</t>
  </si>
  <si>
    <r>
      <rPr>
        <sz val="11"/>
        <color theme="1"/>
        <rFont val="宋体"/>
        <family val="3"/>
        <charset val="134"/>
        <scheme val="minor"/>
      </rPr>
      <t>speed,</t>
    </r>
    <r>
      <rPr>
        <sz val="11"/>
        <color theme="1"/>
        <rFont val="宋体"/>
        <family val="3"/>
        <charset val="134"/>
        <scheme val="minor"/>
      </rPr>
      <t>38</t>
    </r>
    <r>
      <rPr>
        <sz val="11"/>
        <color theme="1"/>
        <rFont val="宋体"/>
        <family val="3"/>
        <charset val="134"/>
        <scheme val="minor"/>
      </rPr>
      <t>;evade,</t>
    </r>
    <r>
      <rPr>
        <sz val="11"/>
        <color theme="1"/>
        <rFont val="宋体"/>
        <family val="3"/>
        <charset val="134"/>
        <scheme val="minor"/>
      </rPr>
      <t>19</t>
    </r>
  </si>
  <si>
    <t>speed,50;evade,27</t>
  </si>
  <si>
    <t>speed,62;evade,35</t>
  </si>
  <si>
    <t>speed,84;evade,48</t>
  </si>
  <si>
    <t>speed,98;evade,54</t>
  </si>
  <si>
    <t>speed,116;evade,65</t>
  </si>
  <si>
    <t>speed,138;evade,78</t>
  </si>
  <si>
    <t>speed,159;evade,89</t>
  </si>
  <si>
    <t>speed,186;evade,102</t>
  </si>
  <si>
    <t>speed,215;evade,120</t>
  </si>
  <si>
    <t>act,16;block,20</t>
  </si>
  <si>
    <t>act,24;block,30</t>
  </si>
  <si>
    <t>act,32;block,40</t>
  </si>
  <si>
    <t>act,42;block,60</t>
  </si>
  <si>
    <t>act,52;block,80</t>
  </si>
  <si>
    <t>act,64;block,100</t>
  </si>
  <si>
    <t>act,76;block,120</t>
  </si>
  <si>
    <t>act,94;block,130</t>
  </si>
  <si>
    <t>act,114;block,150</t>
  </si>
  <si>
    <t>act,135;block,160</t>
  </si>
  <si>
    <t>招式ID</t>
  </si>
  <si>
    <t>招式名</t>
  </si>
  <si>
    <t>招式类型</t>
  </si>
  <si>
    <t>對應武學</t>
  </si>
  <si>
    <t>境界要求</t>
  </si>
  <si>
    <t>消耗</t>
  </si>
  <si>
    <t>冷却</t>
  </si>
  <si>
    <t>連擊</t>
  </si>
  <si>
    <t>追擊</t>
  </si>
  <si>
    <t>tips</t>
  </si>
  <si>
    <t>line</t>
  </si>
  <si>
    <t>text</t>
  </si>
  <si>
    <t>textParams</t>
  </si>
  <si>
    <t>image</t>
  </si>
  <si>
    <t>jineng</t>
  </si>
  <si>
    <t>attribute</t>
  </si>
  <si>
    <t>cost</t>
  </si>
  <si>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extParams</t>
    </r>
  </si>
  <si>
    <t>进步冲捶</t>
  </si>
  <si>
    <t>主动</t>
  </si>
  <si>
    <t>hurt|force*1.5;</t>
  </si>
  <si>
    <t>mp,12</t>
  </si>
  <si>
    <t>F,2；B,4</t>
  </si>
  <si>
    <r>
      <rPr>
        <sz val="11"/>
        <color theme="1"/>
        <rFont val="宋体"/>
        <family val="3"/>
        <charset val="134"/>
        <scheme val="minor"/>
      </rPr>
      <t>进步冲捶：垫步前冲，汇全身力量于一点，造成{0}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</si>
  <si>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force*1.5</t>
  </si>
  <si>
    <t>tricks/10100101</t>
  </si>
  <si>
    <t>Quan/10100101,32,19</t>
  </si>
  <si>
    <t>心意圆融</t>
  </si>
  <si>
    <t>被动</t>
  </si>
  <si>
    <t>backCD|-2;</t>
  </si>
  <si>
    <t>太祖长拳五重开启</t>
  </si>
  <si>
    <r>
      <rPr>
        <sz val="11"/>
        <color theme="1"/>
        <rFont val="宋体"/>
        <family val="3"/>
        <charset val="134"/>
        <scheme val="minor"/>
      </rPr>
      <t>心意圆融：拳行圆融，其势愈胜，减少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回合进步冲锤的调息时间。</t>
    </r>
  </si>
  <si>
    <t>tricks/10100102</t>
  </si>
  <si>
    <t>恶狗扑食</t>
  </si>
  <si>
    <t>hurt|force+8;</t>
  </si>
  <si>
    <t>mp,15</t>
  </si>
  <si>
    <t>恶狗扑食：向前飞扑，双臂合拢宛若猛獒撕咬，造成{0}点伤害。【武力加成】</t>
  </si>
  <si>
    <t>force+8</t>
  </si>
  <si>
    <t>tricks/10100201</t>
  </si>
  <si>
    <t>Quan/10100201,18,8</t>
  </si>
  <si>
    <t>沾地滚</t>
  </si>
  <si>
    <t>evade|agile*2</t>
  </si>
  <si>
    <t>猛獒拳六重开启</t>
  </si>
  <si>
    <r>
      <rPr>
        <sz val="11"/>
        <color theme="1"/>
        <rFont val="宋体"/>
        <family val="3"/>
        <charset val="134"/>
        <scheme val="minor"/>
      </rPr>
      <t>沾地滚：模仿犬类身形，间不容发之际伏地闪避，提升{</t>
    </r>
    <r>
      <rPr>
        <sz val="11"/>
        <color theme="1"/>
        <rFont val="宋体"/>
        <family val="3"/>
        <charset val="134"/>
        <scheme val="minor"/>
      </rPr>
      <t>0}</t>
    </r>
    <r>
      <rPr>
        <sz val="11"/>
        <color theme="1"/>
        <rFont val="宋体"/>
        <family val="3"/>
        <charset val="134"/>
        <scheme val="minor"/>
      </rPr>
      <t>闪避值。【身法加成】</t>
    </r>
  </si>
  <si>
    <t>agile*2</t>
  </si>
  <si>
    <t>tricks/10100202</t>
  </si>
  <si>
    <t>清风骤起</t>
  </si>
  <si>
    <t>hurt|force*1.2;</t>
  </si>
  <si>
    <t>mp,10</t>
  </si>
  <si>
    <t>F,3；B,3</t>
  </si>
  <si>
    <r>
      <rPr>
        <sz val="11"/>
        <color theme="1"/>
        <rFont val="宋体"/>
        <family val="3"/>
        <charset val="134"/>
        <scheme val="minor"/>
      </rPr>
      <t>清风骤起：清风乍起，破萍纵月，造成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</si>
  <si>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force*1.2</t>
  </si>
  <si>
    <t>tricks/10200101</t>
  </si>
  <si>
    <t>Jian/10200101,22,13</t>
  </si>
  <si>
    <t>清风时归</t>
  </si>
  <si>
    <t>onHurt|clearCD|1|(agile*0.2)/100;</t>
  </si>
  <si>
    <t>清风剑法六重开启</t>
  </si>
  <si>
    <r>
      <rPr>
        <sz val="11"/>
        <color theme="1"/>
        <rFont val="宋体"/>
        <family val="3"/>
        <charset val="134"/>
        <scheme val="minor"/>
      </rPr>
      <t>清风时扫：千里人未还，清风有时归，每次对敌方目标造成伤害时，{0}</t>
    </r>
    <r>
      <rPr>
        <sz val="11"/>
        <color rgb="FFFF0000"/>
        <rFont val="宋体"/>
        <family val="3"/>
        <charset val="134"/>
        <scheme val="minor"/>
      </rPr>
      <t>%</t>
    </r>
    <r>
      <rPr>
        <sz val="11"/>
        <color theme="1"/>
        <rFont val="宋体"/>
        <family val="3"/>
        <charset val="134"/>
        <scheme val="minor"/>
      </rPr>
      <t>概率清除清风骤起整备回合。【身法加成】</t>
    </r>
  </si>
  <si>
    <t>agile*0.2</t>
  </si>
  <si>
    <t>tricks/10200102</t>
  </si>
  <si>
    <t>灵犀一点</t>
  </si>
  <si>
    <t>hurt|internal*1.7;</t>
  </si>
  <si>
    <t>F,0；B,5</t>
  </si>
  <si>
    <r>
      <rPr>
        <sz val="11"/>
        <color theme="1"/>
        <rFont val="宋体"/>
        <family val="3"/>
        <charset val="134"/>
        <scheme val="minor"/>
      </rPr>
      <t>灵犀一点：剑似灵犀，稍纵即逝，造成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点伤害。【内息加成】</t>
    </r>
  </si>
  <si>
    <t>internal*1.7</t>
  </si>
  <si>
    <t>tricks/10200201</t>
  </si>
  <si>
    <t>Jian/10200201,30,19</t>
  </si>
  <si>
    <t>灵心慧性</t>
  </si>
  <si>
    <t>act|internal*2;</t>
  </si>
  <si>
    <t>钟灵剑法六重开启</t>
  </si>
  <si>
    <r>
      <rPr>
        <sz val="11"/>
        <color theme="1"/>
        <rFont val="宋体"/>
        <family val="3"/>
        <charset val="134"/>
        <scheme val="minor"/>
      </rPr>
      <t>灵心慧性：如灵如明，如慧如性，若灵犀一点处在调息状态中则增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点攻击力。【内息加成】</t>
    </r>
  </si>
  <si>
    <t>internal*2</t>
  </si>
  <si>
    <t>tricks/10200202</t>
  </si>
  <si>
    <t>器钟灵鸣</t>
  </si>
  <si>
    <t>OnAfterBeGeDang,AddBuff,201,1</t>
  </si>
  <si>
    <t>钟灵剑法九重开启</t>
  </si>
  <si>
    <r>
      <rPr>
        <sz val="11"/>
        <color theme="1"/>
        <rFont val="宋体"/>
        <family val="3"/>
        <charset val="134"/>
        <scheme val="minor"/>
      </rPr>
      <t>器钟灵鸣：器在匣中，不平而鸣，攻击被格挡下次攻击时提升</t>
    </r>
    <r>
      <rPr>
        <sz val="11"/>
        <color rgb="FFFF0000"/>
        <rFont val="宋体"/>
        <family val="3"/>
        <charset val="134"/>
        <scheme val="minor"/>
      </rPr>
      <t>30%攻击力</t>
    </r>
    <r>
      <rPr>
        <sz val="11"/>
        <color theme="1"/>
        <rFont val="宋体"/>
        <family val="3"/>
        <charset val="134"/>
        <scheme val="minor"/>
      </rPr>
      <t>。</t>
    </r>
  </si>
  <si>
    <t>tricks/10200203</t>
  </si>
  <si>
    <t>开天辟地</t>
  </si>
  <si>
    <t>hurt|force*1.4;</t>
  </si>
  <si>
    <t>mp,18</t>
  </si>
  <si>
    <t>F,1；B,4</t>
  </si>
  <si>
    <r>
      <rPr>
        <sz val="11"/>
        <color theme="1"/>
        <rFont val="宋体"/>
        <family val="3"/>
        <charset val="134"/>
        <scheme val="minor"/>
      </rPr>
      <t>开天辟地：自上而下的纵斩，似有开天辟地之力，造成</t>
    </r>
    <r>
      <rPr>
        <sz val="11"/>
        <color rgb="FFFF0000"/>
        <rFont val="宋体"/>
        <family val="3"/>
        <charset val="134"/>
        <scheme val="minor"/>
      </rPr>
      <t>{</t>
    </r>
    <r>
      <rPr>
        <sz val="11"/>
        <color rgb="FFFF0000"/>
        <rFont val="宋体"/>
        <family val="3"/>
        <charset val="134"/>
        <scheme val="minor"/>
      </rPr>
      <t>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</si>
  <si>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force*1.4</t>
  </si>
  <si>
    <t>tricks/10300101</t>
  </si>
  <si>
    <t>Dao/10300101,20,10</t>
  </si>
  <si>
    <t>改天换地</t>
  </si>
  <si>
    <t>onHurt|atkAgainRate|(agile*0.25)/100;</t>
  </si>
  <si>
    <t>乾坤刀法五重开启</t>
  </si>
  <si>
    <r>
      <rPr>
        <sz val="11"/>
        <color theme="1"/>
        <rFont val="宋体"/>
        <family val="3"/>
        <charset val="134"/>
        <scheme val="minor"/>
      </rPr>
      <t>改天换地：一刀一刹那，片刻一天地，攻击时{0}</t>
    </r>
    <r>
      <rPr>
        <sz val="11"/>
        <color rgb="FFFF0000"/>
        <rFont val="宋体"/>
        <family val="3"/>
        <charset val="134"/>
        <scheme val="minor"/>
      </rPr>
      <t>%</t>
    </r>
    <r>
      <rPr>
        <sz val="11"/>
        <color theme="1"/>
        <rFont val="宋体"/>
        <family val="3"/>
        <charset val="134"/>
        <scheme val="minor"/>
      </rPr>
      <t>概率触发连击攻击。【身法加成】</t>
    </r>
  </si>
  <si>
    <t>agile*0.25</t>
  </si>
  <si>
    <t>tricks/10300102</t>
  </si>
  <si>
    <t>力劈华山</t>
  </si>
  <si>
    <r>
      <rPr>
        <sz val="11"/>
        <color theme="1"/>
        <rFont val="宋体"/>
        <family val="3"/>
        <charset val="134"/>
        <scheme val="minor"/>
      </rPr>
      <t>hurt|force*</t>
    </r>
    <r>
      <rPr>
        <sz val="11"/>
        <color theme="1"/>
        <rFont val="宋体"/>
        <family val="3"/>
        <charset val="134"/>
        <scheme val="minor"/>
      </rPr>
      <t>1.6</t>
    </r>
  </si>
  <si>
    <t>mp,5</t>
  </si>
  <si>
    <t>F,2；B,6</t>
  </si>
  <si>
    <r>
      <rPr>
        <sz val="11"/>
        <color theme="1"/>
        <rFont val="宋体"/>
        <family val="3"/>
        <charset val="134"/>
        <scheme val="minor"/>
      </rPr>
      <t>力劈华山：自上而下的纵向斩击，力求至极破山之意，造成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</si>
  <si>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force*1.6</t>
  </si>
  <si>
    <t>tricks/10300201</t>
  </si>
  <si>
    <t>Dao/10300201,20,11</t>
  </si>
  <si>
    <t>开山劲</t>
  </si>
  <si>
    <t>def|soma*2</t>
  </si>
  <si>
    <t>开山刀法七重开启</t>
  </si>
  <si>
    <r>
      <rPr>
        <sz val="11"/>
        <color theme="1"/>
        <rFont val="宋体"/>
        <family val="3"/>
        <charset val="134"/>
        <scheme val="minor"/>
      </rPr>
      <t>开山劲：刀行厚重，如破山峦，提升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点防御。【筋骨加成】</t>
    </r>
  </si>
  <si>
    <t>soma*2</t>
  </si>
  <si>
    <t>tricks/10300202</t>
  </si>
  <si>
    <t>敲山震虎</t>
  </si>
  <si>
    <t>hurt|force*1.3</t>
  </si>
  <si>
    <t>mp,16</t>
  </si>
  <si>
    <t>F,5；B,4</t>
  </si>
  <si>
    <r>
      <rPr>
        <sz val="11"/>
        <color theme="1"/>
        <rFont val="宋体"/>
        <family val="3"/>
        <charset val="134"/>
        <scheme val="minor"/>
      </rPr>
      <t>敲山震虎：长棍贯出，若千军横扫，造成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</si>
  <si>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force*1.3</t>
  </si>
  <si>
    <t>tricks/10400101</t>
  </si>
  <si>
    <t>Changbing/10400101,20,11</t>
  </si>
  <si>
    <t>力拔山河</t>
  </si>
  <si>
    <t>onSkill|10400101|hurtNear|force;</t>
  </si>
  <si>
    <t>先锋棍法七重开启</t>
  </si>
  <si>
    <r>
      <rPr>
        <sz val="11"/>
        <color theme="1"/>
        <rFont val="宋体"/>
        <family val="3"/>
        <charset val="134"/>
        <scheme val="minor"/>
      </rPr>
      <t>力拔山河：力拔山兮气盖世，施展横扫千军时给攻击目标临近的敌人造成</t>
    </r>
    <r>
      <rPr>
        <sz val="11"/>
        <color rgb="FFFF0000"/>
        <rFont val="宋体"/>
        <family val="3"/>
        <charset val="134"/>
        <scheme val="minor"/>
      </rPr>
      <t>武力</t>
    </r>
    <r>
      <rPr>
        <sz val="11"/>
        <color theme="1"/>
        <rFont val="宋体"/>
        <family val="3"/>
        <charset val="134"/>
        <scheme val="minor"/>
      </rPr>
      <t>伤害。【武力加成】</t>
    </r>
  </si>
  <si>
    <t>tricks/10400102</t>
  </si>
  <si>
    <t>乱披风锤</t>
  </si>
  <si>
    <t>hurt|force*0.7;</t>
  </si>
  <si>
    <t>F,6；B,8</t>
  </si>
  <si>
    <r>
      <rPr>
        <sz val="11"/>
        <color theme="1"/>
        <rFont val="宋体"/>
        <family val="3"/>
        <charset val="134"/>
        <scheme val="minor"/>
      </rPr>
      <t>乱披风锤：面朝对方胡乱地挥舞出四记挥砍，每记挥砍造成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  【武力加成】</t>
    </r>
  </si>
  <si>
    <t>force*0.7</t>
  </si>
  <si>
    <t>tricks/10700101</t>
  </si>
  <si>
    <t>Qimen_dunqi/10700101,58,13,25,45</t>
  </si>
  <si>
    <t>锤风贯耳</t>
  </si>
  <si>
    <t>onSkill|10700101|AddHurt|iif(soma&gt;targetsoma,(soma-targetsoma)*0.5,0);</t>
  </si>
  <si>
    <t>披麻锤法五重开启</t>
  </si>
  <si>
    <r>
      <rPr>
        <sz val="11"/>
        <color theme="1"/>
        <rFont val="宋体"/>
        <family val="3"/>
        <charset val="134"/>
        <scheme val="minor"/>
      </rPr>
      <t>锤风贯耳：当你的筋骨高于目标时，锤风之势如黑云压城，提升乱披风锤的伤害</t>
    </r>
    <r>
      <rPr>
        <sz val="11"/>
        <color rgb="FFFF0000"/>
        <rFont val="宋体"/>
        <family val="3"/>
        <charset val="134"/>
        <scheme val="minor"/>
      </rPr>
      <t>（与目标筋骨差*0.5）</t>
    </r>
    <r>
      <rPr>
        <sz val="11"/>
        <color theme="1"/>
        <rFont val="宋体"/>
        <family val="3"/>
        <charset val="134"/>
        <scheme val="minor"/>
      </rPr>
      <t>。【筋骨加成】</t>
    </r>
  </si>
  <si>
    <t>tricks/10700102</t>
  </si>
  <si>
    <t>Qimen_dunqi/10700102,58,13,25,45</t>
  </si>
  <si>
    <t>横勾鞭</t>
  </si>
  <si>
    <t>onSkill|10900101|hurtRow|internal*3;</t>
  </si>
  <si>
    <t>mp,6</t>
  </si>
  <si>
    <t>F,1；B,3</t>
  </si>
  <si>
    <r>
      <rPr>
        <sz val="11"/>
        <color theme="1"/>
        <rFont val="宋体"/>
        <family val="3"/>
        <charset val="134"/>
        <scheme val="minor"/>
      </rPr>
      <t>横勾鞭：自左至右横卷向目标，造成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   【内息加成】</t>
    </r>
  </si>
  <si>
    <t>internal*3</t>
  </si>
  <si>
    <t>tricks/10900101</t>
  </si>
  <si>
    <t>Qimen_ruanbing/10900101,22,15</t>
  </si>
  <si>
    <t>勾栏缠鞭</t>
  </si>
  <si>
    <t>onHurt|AddTargetBackCD|1|(agile*2)/100</t>
  </si>
  <si>
    <t>勾栏鞭法五重开启</t>
  </si>
  <si>
    <r>
      <rPr>
        <sz val="11"/>
        <color theme="1"/>
        <rFont val="宋体"/>
        <family val="3"/>
        <charset val="134"/>
        <scheme val="minor"/>
      </rPr>
      <t>勾栏缠鞭：勾栏纠缠，绕指索命，攻击时有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rgb="FFFF0000"/>
        <rFont val="宋体"/>
        <family val="3"/>
        <charset val="134"/>
        <scheme val="minor"/>
      </rPr>
      <t>%</t>
    </r>
    <r>
      <rPr>
        <sz val="11"/>
        <color theme="1"/>
        <rFont val="宋体"/>
        <family val="3"/>
        <charset val="134"/>
        <scheme val="minor"/>
      </rPr>
      <t>概率增加目标当前武功调息1回合。【身法加成】</t>
    </r>
  </si>
  <si>
    <t>tricks/10900102</t>
  </si>
  <si>
    <t>hurt|force*3;onHurt|rate|0.15|AddBuff|1001|1</t>
  </si>
  <si>
    <t>mp,7</t>
  </si>
  <si>
    <t>F,2；B,2</t>
  </si>
  <si>
    <r>
      <rPr>
        <sz val="11"/>
        <color theme="1"/>
        <rFont val="宋体"/>
        <family val="3"/>
        <charset val="134"/>
        <scheme val="minor"/>
      </rPr>
      <t>野兽的基本厮杀能力，造成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点伤害，有</t>
    </r>
    <r>
      <rPr>
        <sz val="11"/>
        <color rgb="FFFF0000"/>
        <rFont val="宋体"/>
        <family val="3"/>
        <charset val="134"/>
        <scheme val="minor"/>
      </rPr>
      <t>15%</t>
    </r>
    <r>
      <rPr>
        <sz val="11"/>
        <color theme="1"/>
        <rFont val="宋体"/>
        <family val="3"/>
        <charset val="134"/>
        <scheme val="minor"/>
      </rPr>
      <t>概率造成流血。</t>
    </r>
  </si>
  <si>
    <t>force*3</t>
  </si>
  <si>
    <t>tricks/11100101</t>
  </si>
  <si>
    <t>11100101,20,10</t>
  </si>
  <si>
    <t>吐故纳新</t>
  </si>
  <si>
    <t>act|internal;def|internal</t>
  </si>
  <si>
    <r>
      <rPr>
        <sz val="11"/>
        <color theme="1"/>
        <rFont val="宋体"/>
        <family val="3"/>
        <charset val="134"/>
        <scheme val="minor"/>
      </rPr>
      <t>吐故纳新：气机吐纳之间，隐有风雷艮震，提升</t>
    </r>
    <r>
      <rPr>
        <sz val="11"/>
        <color rgb="FFFF0000"/>
        <rFont val="宋体"/>
        <family val="3"/>
        <charset val="134"/>
        <scheme val="minor"/>
      </rPr>
      <t>内息</t>
    </r>
    <r>
      <rPr>
        <sz val="11"/>
        <color theme="1"/>
        <rFont val="宋体"/>
        <family val="3"/>
        <charset val="134"/>
        <scheme val="minor"/>
      </rPr>
      <t>点攻击，</t>
    </r>
    <r>
      <rPr>
        <sz val="11"/>
        <color rgb="FFFF0000"/>
        <rFont val="宋体"/>
        <family val="3"/>
        <charset val="134"/>
        <scheme val="minor"/>
      </rPr>
      <t>内息</t>
    </r>
    <r>
      <rPr>
        <sz val="11"/>
        <color theme="1"/>
        <rFont val="宋体"/>
        <family val="3"/>
        <charset val="134"/>
        <scheme val="minor"/>
      </rPr>
      <t>点防御【内息加成】</t>
    </r>
  </si>
  <si>
    <t>tricks/20000101</t>
  </si>
  <si>
    <t>气随心转</t>
  </si>
  <si>
    <t>onHurt|AddMP|mp*0.02</t>
  </si>
  <si>
    <t>吐纳法六重开启</t>
  </si>
  <si>
    <r>
      <rPr>
        <sz val="11"/>
        <color theme="1"/>
        <rFont val="宋体"/>
        <family val="3"/>
        <charset val="134"/>
        <scheme val="minor"/>
      </rPr>
      <t>气随心转：心意流转，气息反复，攻击后回复</t>
    </r>
    <r>
      <rPr>
        <sz val="11"/>
        <color rgb="FFFF0000"/>
        <rFont val="宋体"/>
        <family val="3"/>
        <charset val="134"/>
        <scheme val="minor"/>
      </rPr>
      <t>2%</t>
    </r>
    <r>
      <rPr>
        <sz val="11"/>
        <rFont val="宋体"/>
        <family val="3"/>
        <charset val="134"/>
        <scheme val="minor"/>
      </rPr>
      <t>内力值</t>
    </r>
    <r>
      <rPr>
        <sz val="11"/>
        <color theme="1"/>
        <rFont val="宋体"/>
        <family val="3"/>
        <charset val="134"/>
        <scheme val="minor"/>
      </rPr>
      <t>。</t>
    </r>
  </si>
  <si>
    <t>tricks/20000102</t>
  </si>
  <si>
    <t>铁锁横江</t>
  </si>
  <si>
    <t>hurt|force*1.8;</t>
  </si>
  <si>
    <t>mp,20</t>
  </si>
  <si>
    <t>F,4；B,4</t>
  </si>
  <si>
    <r>
      <rPr>
        <sz val="11"/>
        <color theme="1"/>
        <rFont val="宋体"/>
        <family val="3"/>
        <charset val="134"/>
        <scheme val="minor"/>
      </rPr>
      <t>铁锁横江：铁索拦江，拦横遍野，长棍横扫造成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</si>
  <si>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force*1.8</t>
  </si>
  <si>
    <t>tricks/10400201</t>
  </si>
  <si>
    <t>Changbing/10400201,35,16,25</t>
  </si>
  <si>
    <t>拦江铁意</t>
  </si>
  <si>
    <t>def|soma*3</t>
  </si>
  <si>
    <t>横江棍法四重开启</t>
  </si>
  <si>
    <r>
      <rPr>
        <sz val="11"/>
        <color theme="1"/>
        <rFont val="宋体"/>
        <family val="3"/>
        <charset val="134"/>
        <scheme val="minor"/>
      </rPr>
      <t>拦江铁意：铁索闭江，万夫莫当，运功时提升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rFont val="宋体"/>
        <family val="3"/>
        <charset val="134"/>
        <scheme val="minor"/>
      </rPr>
      <t>点</t>
    </r>
    <r>
      <rPr>
        <sz val="11"/>
        <color theme="1"/>
        <rFont val="宋体"/>
        <family val="3"/>
        <charset val="134"/>
        <scheme val="minor"/>
      </rPr>
      <t>防御。【筋骨加成】</t>
    </r>
  </si>
  <si>
    <t>soma*3</t>
  </si>
  <si>
    <t>tricks/10400202</t>
  </si>
  <si>
    <t>如封似闭</t>
  </si>
  <si>
    <t>onSkill|10400201|rate|0.25|AddBuf|1001</t>
  </si>
  <si>
    <t>横江棍法八重开启</t>
  </si>
  <si>
    <r>
      <rPr>
        <sz val="11"/>
        <color theme="1"/>
        <rFont val="宋体"/>
        <family val="3"/>
        <charset val="134"/>
        <scheme val="minor"/>
      </rPr>
      <t>如封似闭：横索连绵，如封似闭，施展铁索横江造成伤害时</t>
    </r>
    <r>
      <rPr>
        <sz val="11"/>
        <color rgb="FFFF0000"/>
        <rFont val="宋体"/>
        <family val="3"/>
        <charset val="134"/>
        <scheme val="minor"/>
      </rPr>
      <t>25%</t>
    </r>
    <r>
      <rPr>
        <sz val="11"/>
        <color theme="1"/>
        <rFont val="宋体"/>
        <family val="3"/>
        <charset val="134"/>
        <scheme val="minor"/>
      </rPr>
      <t>给目标造成流血。</t>
    </r>
  </si>
  <si>
    <t>tricks/10400203</t>
  </si>
  <si>
    <t>铁掌双分</t>
  </si>
  <si>
    <r>
      <rPr>
        <sz val="11"/>
        <color theme="1"/>
        <rFont val="宋体"/>
        <family val="3"/>
        <charset val="134"/>
        <scheme val="minor"/>
      </rPr>
      <t>hurt|force*</t>
    </r>
    <r>
      <rPr>
        <sz val="11"/>
        <color theme="1"/>
        <rFont val="宋体"/>
        <family val="3"/>
        <charset val="134"/>
        <scheme val="minor"/>
      </rPr>
      <t>1.2</t>
    </r>
  </si>
  <si>
    <t>F,3；B,4</t>
  </si>
  <si>
    <r>
      <rPr>
        <sz val="11"/>
        <color theme="1"/>
        <rFont val="宋体"/>
        <family val="3"/>
        <charset val="134"/>
        <scheme val="minor"/>
      </rPr>
      <t>铁掌双分：砂寒铁冷，双掌以推山之势，分别造成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段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</si>
  <si>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tricks/10100301</t>
  </si>
  <si>
    <t>Quan/10100301,20,11</t>
  </si>
  <si>
    <t>破砂石掌</t>
  </si>
  <si>
    <t>hurt|force*1</t>
  </si>
  <si>
    <t>铁砂掌四重开启</t>
  </si>
  <si>
    <r>
      <rPr>
        <sz val="11"/>
        <color theme="1"/>
        <rFont val="宋体"/>
        <family val="3"/>
        <charset val="134"/>
        <scheme val="minor"/>
      </rPr>
      <t>破砂石掌：舞花坐山，掌若铁石，造成伤害时额外附加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</si>
  <si>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force*1</t>
  </si>
  <si>
    <t>tricks/10100302</t>
  </si>
  <si>
    <t>药浸柔掌</t>
  </si>
  <si>
    <t>hp_max|soma*4;</t>
  </si>
  <si>
    <t>铁砂掌八重开启</t>
  </si>
  <si>
    <r>
      <rPr>
        <sz val="11"/>
        <color theme="1"/>
        <rFont val="宋体"/>
        <family val="3"/>
        <charset val="134"/>
        <scheme val="minor"/>
      </rPr>
      <t>药浸柔掌：药侵铁掌，锻骨练体，提升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点气血上限。【筋骨加成】</t>
    </r>
  </si>
  <si>
    <t>soma*4</t>
  </si>
  <si>
    <t>tricks/10100303</t>
  </si>
  <si>
    <t>长剑冰清</t>
  </si>
  <si>
    <t>hurt|force*1.4</t>
  </si>
  <si>
    <t>mp,22</t>
  </si>
  <si>
    <t>F,2；B,3</t>
  </si>
  <si>
    <r>
      <rPr>
        <sz val="11"/>
        <color theme="1"/>
        <rFont val="宋体"/>
        <family val="3"/>
        <charset val="134"/>
        <scheme val="minor"/>
      </rPr>
      <t>长剑冰清：长剑冰清，清意宁心，长剑直点眉心，造成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</si>
  <si>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tricks/10200401</t>
  </si>
  <si>
    <t>Jian/10200401,38,11,27</t>
  </si>
  <si>
    <t>玉洁宁心</t>
  </si>
  <si>
    <t>OnHurt|rate|0.3|AddMP|attack*0.25</t>
  </si>
  <si>
    <t>玉洁剑法四重开启</t>
  </si>
  <si>
    <r>
      <rPr>
        <sz val="11"/>
        <color theme="1"/>
        <rFont val="宋体"/>
        <family val="3"/>
        <charset val="134"/>
        <scheme val="minor"/>
      </rPr>
      <t>玉洁宁心：玉洁宁心，灵台清明，造成伤害时</t>
    </r>
    <r>
      <rPr>
        <sz val="11"/>
        <color rgb="FFFF0000"/>
        <rFont val="宋体"/>
        <family val="3"/>
        <charset val="134"/>
        <scheme val="minor"/>
      </rPr>
      <t>30%</t>
    </r>
    <r>
      <rPr>
        <sz val="11"/>
        <color theme="1"/>
        <rFont val="宋体"/>
        <family val="3"/>
        <charset val="134"/>
        <scheme val="minor"/>
      </rPr>
      <t>概率回复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点内力。</t>
    </r>
  </si>
  <si>
    <t>attack*0.25</t>
  </si>
  <si>
    <t>tricks/10200402</t>
  </si>
  <si>
    <t>璞玉韬光</t>
  </si>
  <si>
    <t>OnAddHp|rate|0.4|removeBuff|1001|1002</t>
  </si>
  <si>
    <t>玉洁剑法八重开启</t>
  </si>
  <si>
    <r>
      <rPr>
        <sz val="11"/>
        <color theme="1"/>
        <rFont val="宋体"/>
        <family val="3"/>
        <charset val="134"/>
        <scheme val="minor"/>
      </rPr>
      <t>璞玉韬光：剑若浑金，人比璞玉，恢复时</t>
    </r>
    <r>
      <rPr>
        <sz val="11"/>
        <color rgb="FFFF0000"/>
        <rFont val="宋体"/>
        <family val="3"/>
        <charset val="134"/>
        <scheme val="minor"/>
      </rPr>
      <t>40%</t>
    </r>
    <r>
      <rPr>
        <sz val="11"/>
        <color theme="1"/>
        <rFont val="宋体"/>
        <family val="3"/>
        <charset val="134"/>
        <scheme val="minor"/>
      </rPr>
      <t>概率解除</t>
    </r>
    <r>
      <rPr>
        <sz val="11"/>
        <color rgb="FFFF0000"/>
        <rFont val="宋体"/>
        <family val="3"/>
        <charset val="134"/>
        <scheme val="minor"/>
      </rPr>
      <t>流血和中毒</t>
    </r>
    <r>
      <rPr>
        <sz val="11"/>
        <color theme="1"/>
        <rFont val="宋体"/>
        <family val="3"/>
        <charset val="134"/>
        <scheme val="minor"/>
      </rPr>
      <t>的负面状态。</t>
    </r>
  </si>
  <si>
    <t>tricks/10200403</t>
  </si>
  <si>
    <r>
      <rPr>
        <sz val="11"/>
        <color theme="1"/>
        <rFont val="宋体"/>
        <family val="3"/>
        <charset val="134"/>
        <scheme val="minor"/>
      </rPr>
      <t>hurt|force*1.8</t>
    </r>
    <r>
      <rPr>
        <sz val="11"/>
        <color theme="1"/>
        <rFont val="宋体"/>
        <family val="3"/>
        <charset val="134"/>
        <scheme val="minor"/>
      </rPr>
      <t>;</t>
    </r>
  </si>
  <si>
    <t>F,0；B,4</t>
  </si>
  <si>
    <r>
      <rPr>
        <sz val="11"/>
        <color theme="1"/>
        <rFont val="宋体"/>
        <family val="3"/>
        <charset val="134"/>
        <scheme val="minor"/>
      </rPr>
      <t>黑市快刀：快刀直起，骤然劈斩，造成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</si>
  <si>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tricks/10300301</t>
  </si>
  <si>
    <t>Dao/10300301,40,14，30</t>
  </si>
  <si>
    <t>短斤两</t>
  </si>
  <si>
    <t>OnHurt|IsParterHurt|AttakAgain</t>
  </si>
  <si>
    <t>黑市快刀四重开启</t>
  </si>
  <si>
    <r>
      <rPr>
        <sz val="11"/>
        <color theme="1"/>
        <rFont val="宋体"/>
        <family val="3"/>
        <charset val="134"/>
        <scheme val="minor"/>
      </rPr>
      <t>短斤两：同伴对敌方造成伤害时</t>
    </r>
    <r>
      <rPr>
        <sz val="11"/>
        <color rgb="FFFF0000"/>
        <rFont val="宋体"/>
        <family val="3"/>
        <charset val="134"/>
        <scheme val="minor"/>
      </rPr>
      <t>15%</t>
    </r>
    <r>
      <rPr>
        <sz val="11"/>
        <color theme="1"/>
        <rFont val="宋体"/>
        <family val="3"/>
        <charset val="134"/>
        <scheme val="minor"/>
      </rPr>
      <t>概率进行追击。</t>
    </r>
  </si>
  <si>
    <t>tricks/10300302</t>
  </si>
  <si>
    <t>公秤分</t>
  </si>
  <si>
    <t>OnAttackAgain|rate|0.5|useSkill|10300301</t>
  </si>
  <si>
    <t>黑市快刀八重开启</t>
  </si>
  <si>
    <t>公秤分：追击时有50%概率施展黑市快刀，且无需消耗内力。</t>
  </si>
  <si>
    <t>tricks/10300303</t>
  </si>
  <si>
    <t>枪回九曲</t>
  </si>
  <si>
    <r>
      <rPr>
        <sz val="11"/>
        <color theme="1"/>
        <rFont val="宋体"/>
        <family val="3"/>
        <charset val="134"/>
        <scheme val="minor"/>
      </rPr>
      <t>hurt|force*1.6</t>
    </r>
    <r>
      <rPr>
        <sz val="11"/>
        <color theme="1"/>
        <rFont val="宋体"/>
        <family val="3"/>
        <charset val="134"/>
        <scheme val="minor"/>
      </rPr>
      <t>;</t>
    </r>
  </si>
  <si>
    <t>mp,17</t>
  </si>
  <si>
    <t>F,4；B,6</t>
  </si>
  <si>
    <r>
      <rPr>
        <sz val="11"/>
        <color theme="1"/>
        <rFont val="宋体"/>
        <family val="3"/>
        <charset val="134"/>
        <scheme val="minor"/>
      </rPr>
      <t>枪回九曲：长枪九曲，三式为始，造成</t>
    </r>
    <r>
      <rPr>
        <sz val="11"/>
        <color rgb="FFFF0000"/>
        <rFont val="宋体"/>
        <family val="3"/>
        <charset val="134"/>
        <scheme val="minor"/>
      </rPr>
      <t>两段</t>
    </r>
    <r>
      <rPr>
        <sz val="11"/>
        <color theme="1"/>
        <rFont val="宋体"/>
        <family val="3"/>
        <charset val="134"/>
        <scheme val="minor"/>
      </rPr>
      <t>伤害，每段伤害为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点。【武力加成】</t>
    </r>
  </si>
  <si>
    <t>tricks/10500101</t>
  </si>
  <si>
    <t>Changbing/10500101,70,16,45</t>
  </si>
  <si>
    <t>蜿蜒九变</t>
  </si>
  <si>
    <t>OnHurt|rate|0.25|AddBuff|1001|1</t>
  </si>
  <si>
    <t>九曲枪法四重开启</t>
  </si>
  <si>
    <r>
      <rPr>
        <sz val="11"/>
        <color theme="1"/>
        <rFont val="宋体"/>
        <family val="3"/>
        <charset val="134"/>
        <scheme val="minor"/>
      </rPr>
      <t>蜿蜒九变：枪出如云龙九变，每次造成伤害时</t>
    </r>
    <r>
      <rPr>
        <sz val="11"/>
        <color rgb="FFFF0000"/>
        <rFont val="宋体"/>
        <family val="3"/>
        <charset val="134"/>
        <scheme val="minor"/>
      </rPr>
      <t>25%</t>
    </r>
    <r>
      <rPr>
        <sz val="11"/>
        <color theme="1"/>
        <rFont val="宋体"/>
        <family val="3"/>
        <charset val="134"/>
        <scheme val="minor"/>
      </rPr>
      <t>概率造成流血效果。</t>
    </r>
  </si>
  <si>
    <t>tricks/10500102</t>
  </si>
  <si>
    <t>九曲云龙现</t>
  </si>
  <si>
    <t>OnHurt|rate|0.3|hurt|force*3;</t>
  </si>
  <si>
    <t>九曲枪法八重开启</t>
  </si>
  <si>
    <r>
      <rPr>
        <sz val="11"/>
        <color theme="1"/>
        <rFont val="宋体"/>
        <family val="3"/>
        <charset val="134"/>
        <scheme val="minor"/>
      </rPr>
      <t>九曲云龙现：施展枪回九曲时，每段伤害有</t>
    </r>
    <r>
      <rPr>
        <sz val="11"/>
        <color rgb="FFFF0000"/>
        <rFont val="宋体"/>
        <family val="3"/>
        <charset val="134"/>
        <scheme val="minor"/>
      </rPr>
      <t>30%</t>
    </r>
    <r>
      <rPr>
        <sz val="11"/>
        <color theme="1"/>
        <rFont val="宋体"/>
        <family val="3"/>
        <charset val="134"/>
        <scheme val="minor"/>
      </rPr>
      <t>概率打出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</si>
  <si>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tricks/10500103</t>
  </si>
  <si>
    <t>弹飞蝗</t>
  </si>
  <si>
    <r>
      <rPr>
        <sz val="11"/>
        <color theme="1"/>
        <rFont val="宋体"/>
        <family val="3"/>
        <charset val="134"/>
        <scheme val="minor"/>
      </rPr>
      <t>hurt|force*0.8</t>
    </r>
    <r>
      <rPr>
        <sz val="11"/>
        <color theme="1"/>
        <rFont val="宋体"/>
        <family val="3"/>
        <charset val="134"/>
        <scheme val="minor"/>
      </rPr>
      <t>;</t>
    </r>
  </si>
  <si>
    <r>
      <rPr>
        <sz val="11"/>
        <color theme="1"/>
        <rFont val="宋体"/>
        <family val="3"/>
        <charset val="134"/>
        <scheme val="minor"/>
      </rPr>
      <t>弹飞蝗：弹指轻巧，如射飞蝗，造成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</si>
  <si>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force*0.8</t>
  </si>
  <si>
    <t>tricks/10600601</t>
  </si>
  <si>
    <t>振翅拈指</t>
  </si>
  <si>
    <t>飞蝗石四重开启</t>
  </si>
  <si>
    <r>
      <rPr>
        <sz val="11"/>
        <color theme="1"/>
        <rFont val="宋体"/>
        <family val="3"/>
        <charset val="134"/>
        <scheme val="minor"/>
      </rPr>
      <t>振翅拈指：碎石如飞蝗，有</t>
    </r>
    <r>
      <rPr>
        <sz val="11"/>
        <color rgb="FFFF0000"/>
        <rFont val="宋体"/>
        <family val="3"/>
        <charset val="134"/>
        <scheme val="minor"/>
      </rPr>
      <t>20%</t>
    </r>
    <r>
      <rPr>
        <sz val="11"/>
        <color theme="1"/>
        <rFont val="宋体"/>
        <family val="3"/>
        <charset val="134"/>
        <scheme val="minor"/>
      </rPr>
      <t>概率一次会扔出攻击</t>
    </r>
    <r>
      <rPr>
        <sz val="11"/>
        <color rgb="FFFF0000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个目标的飞蝗石</t>
    </r>
    <r>
      <rPr>
        <sz val="11"/>
        <color theme="1"/>
        <rFont val="宋体"/>
        <family val="3"/>
        <charset val="134"/>
        <scheme val="minor"/>
      </rPr>
      <t>。</t>
    </r>
  </si>
  <si>
    <t>tricks/10600602</t>
  </si>
  <si>
    <t>点绷簧</t>
  </si>
  <si>
    <t>OnHurt|rate|0.3|AddTargetMp|-10;</t>
  </si>
  <si>
    <t>飞蝗石八重开启</t>
  </si>
  <si>
    <r>
      <rPr>
        <sz val="11"/>
        <color theme="1"/>
        <rFont val="宋体"/>
        <family val="3"/>
        <charset val="134"/>
        <scheme val="minor"/>
      </rPr>
      <t>点绷簧：穿梭破敌之机，造成伤害时有30%概率造成攻击目标内力</t>
    </r>
    <r>
      <rPr>
        <sz val="11"/>
        <color rgb="FFFF0000"/>
        <rFont val="宋体"/>
        <family val="3"/>
        <charset val="134"/>
        <scheme val="minor"/>
      </rPr>
      <t>-10</t>
    </r>
    <r>
      <rPr>
        <sz val="11"/>
        <color theme="1"/>
        <rFont val="宋体"/>
        <family val="3"/>
        <charset val="134"/>
        <scheme val="minor"/>
      </rPr>
      <t>。</t>
    </r>
  </si>
  <si>
    <t>tricks/10600603</t>
  </si>
  <si>
    <t>纵身翻</t>
  </si>
  <si>
    <t>evade|15;</t>
  </si>
  <si>
    <r>
      <rPr>
        <sz val="11"/>
        <color theme="1"/>
        <rFont val="宋体"/>
        <family val="3"/>
        <charset val="134"/>
        <scheme val="minor"/>
      </rPr>
      <t>纵身翻：侧身纵翻，提升</t>
    </r>
    <r>
      <rPr>
        <sz val="11"/>
        <color rgb="FFFF0000"/>
        <rFont val="宋体"/>
        <family val="3"/>
        <charset val="134"/>
        <scheme val="minor"/>
      </rPr>
      <t>15</t>
    </r>
    <r>
      <rPr>
        <sz val="11"/>
        <color theme="1"/>
        <rFont val="宋体"/>
        <family val="3"/>
        <charset val="134"/>
        <scheme val="minor"/>
      </rPr>
      <t>点闪避。</t>
    </r>
  </si>
  <si>
    <t>tricks/30000101</t>
  </si>
  <si>
    <t>轻身纵</t>
  </si>
  <si>
    <t>speed|25;</t>
  </si>
  <si>
    <t>轻身法五重开启</t>
  </si>
  <si>
    <r>
      <rPr>
        <sz val="11"/>
        <color theme="1"/>
        <rFont val="宋体"/>
        <family val="3"/>
        <charset val="134"/>
        <scheme val="minor"/>
      </rPr>
      <t>轻身纵：轻身纵跃，提升</t>
    </r>
    <r>
      <rPr>
        <sz val="11"/>
        <color rgb="FFFF0000"/>
        <rFont val="宋体"/>
        <family val="3"/>
        <charset val="134"/>
        <scheme val="minor"/>
      </rPr>
      <t>25</t>
    </r>
    <r>
      <rPr>
        <sz val="11"/>
        <color theme="1"/>
        <rFont val="宋体"/>
        <family val="3"/>
        <charset val="134"/>
        <scheme val="minor"/>
      </rPr>
      <t>点速度。</t>
    </r>
  </si>
  <si>
    <t>tricks/30000102</t>
  </si>
  <si>
    <t>罗帐轻烟</t>
  </si>
  <si>
    <r>
      <rPr>
        <sz val="11"/>
        <color theme="1"/>
        <rFont val="宋体"/>
        <family val="3"/>
        <charset val="134"/>
        <scheme val="minor"/>
      </rPr>
      <t>hurt|force*2</t>
    </r>
    <r>
      <rPr>
        <sz val="11"/>
        <color theme="1"/>
        <rFont val="宋体"/>
        <family val="3"/>
        <charset val="134"/>
        <scheme val="minor"/>
      </rPr>
      <t>;</t>
    </r>
  </si>
  <si>
    <t>mp,24</t>
  </si>
  <si>
    <r>
      <rPr>
        <sz val="11"/>
        <color theme="1"/>
        <rFont val="宋体"/>
        <family val="3"/>
        <charset val="134"/>
        <scheme val="minor"/>
      </rPr>
      <t>罗帐轻烟：轻烟渺渺，对目标造成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</t>
    </r>
  </si>
  <si>
    <t>force*2</t>
  </si>
  <si>
    <t>tricks/10100401</t>
  </si>
  <si>
    <t>Quan/10100401,24,15</t>
  </si>
  <si>
    <t>轻罗回风</t>
  </si>
  <si>
    <t>OnSkillEvade|AddMP|internal;</t>
  </si>
  <si>
    <t>罗帐轻烟掌四重开启</t>
  </si>
  <si>
    <r>
      <rPr>
        <sz val="11"/>
        <color theme="1"/>
        <rFont val="宋体"/>
        <family val="3"/>
        <charset val="134"/>
        <scheme val="minor"/>
      </rPr>
      <t>轻罗回风：轻罗回风，招式被闪避后回复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点内力值。</t>
    </r>
  </si>
  <si>
    <t>internal</t>
  </si>
  <si>
    <t>tricks/10100402</t>
  </si>
  <si>
    <t>青纱帐暖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</si>
  <si>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nHurt|rate|0.2|attack|-0.1*attack</t>
    </r>
  </si>
  <si>
    <t>罗帐轻烟掌八重开启</t>
  </si>
  <si>
    <r>
      <rPr>
        <sz val="11"/>
        <color theme="1"/>
        <rFont val="宋体"/>
        <family val="3"/>
        <charset val="134"/>
        <scheme val="minor"/>
      </rPr>
      <t>青纱帐暖：每次受到伤害时</t>
    </r>
    <r>
      <rPr>
        <sz val="11"/>
        <color rgb="FFFF0000"/>
        <rFont val="宋体"/>
        <family val="3"/>
        <charset val="134"/>
        <scheme val="minor"/>
      </rPr>
      <t>20%</t>
    </r>
    <r>
      <rPr>
        <sz val="11"/>
        <color theme="1"/>
        <rFont val="宋体"/>
        <family val="3"/>
        <charset val="134"/>
        <scheme val="minor"/>
      </rPr>
      <t>概率减免</t>
    </r>
    <r>
      <rPr>
        <sz val="11"/>
        <color rgb="FFFF0000"/>
        <rFont val="宋体"/>
        <family val="3"/>
        <charset val="134"/>
        <scheme val="minor"/>
      </rPr>
      <t>10%</t>
    </r>
    <r>
      <rPr>
        <sz val="11"/>
        <color theme="1"/>
        <rFont val="宋体"/>
        <family val="3"/>
        <charset val="134"/>
        <scheme val="minor"/>
      </rPr>
      <t>伤害。</t>
    </r>
  </si>
  <si>
    <t>tricks/10100403</t>
  </si>
  <si>
    <t>身轻如燕</t>
  </si>
  <si>
    <t>speed|24;</t>
  </si>
  <si>
    <r>
      <rPr>
        <sz val="11"/>
        <color theme="1"/>
        <rFont val="宋体"/>
        <family val="3"/>
        <charset val="134"/>
        <scheme val="minor"/>
      </rPr>
      <t>身轻如燕：身轻如燕，提升</t>
    </r>
    <r>
      <rPr>
        <sz val="11"/>
        <color rgb="FFFF0000"/>
        <rFont val="宋体"/>
        <family val="3"/>
        <charset val="134"/>
        <scheme val="minor"/>
      </rPr>
      <t>24</t>
    </r>
    <r>
      <rPr>
        <sz val="11"/>
        <color theme="1"/>
        <rFont val="宋体"/>
        <family val="3"/>
        <charset val="134"/>
        <scheme val="minor"/>
      </rPr>
      <t>点速度。</t>
    </r>
  </si>
  <si>
    <t>tricks/30000201</t>
  </si>
  <si>
    <t>燕子冲霄</t>
  </si>
  <si>
    <t>OnBattleRound|AddEvadeEndOnEvade|7</t>
  </si>
  <si>
    <t>如燕功四重开启</t>
  </si>
  <si>
    <r>
      <rPr>
        <sz val="11"/>
        <color theme="1"/>
        <rFont val="宋体"/>
        <family val="3"/>
        <charset val="134"/>
        <scheme val="minor"/>
      </rPr>
      <t>燕子冲霄：燕子冲霄，每回合提升</t>
    </r>
    <r>
      <rPr>
        <sz val="11"/>
        <color rgb="FFFF0000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点闪避，直至成功闪避一次。</t>
    </r>
  </si>
  <si>
    <t>tricks/30000202</t>
  </si>
  <si>
    <t>春燕南归</t>
  </si>
  <si>
    <t>OnEvade|AddEvade|5</t>
  </si>
  <si>
    <t>如燕功八重开启</t>
  </si>
  <si>
    <r>
      <rPr>
        <sz val="11"/>
        <color theme="1"/>
        <rFont val="宋体"/>
        <family val="3"/>
        <charset val="134"/>
        <scheme val="minor"/>
      </rPr>
      <t>春燕南归：成功闪避后提升</t>
    </r>
    <r>
      <rPr>
        <sz val="11"/>
        <color rgb="FFFF0000"/>
        <rFont val="宋体"/>
        <family val="3"/>
        <charset val="134"/>
        <scheme val="minor"/>
      </rPr>
      <t>身法5</t>
    </r>
    <r>
      <rPr>
        <sz val="11"/>
        <color theme="1"/>
        <rFont val="宋体"/>
        <family val="3"/>
        <charset val="134"/>
        <scheme val="minor"/>
      </rPr>
      <t>点，直至战斗结束。</t>
    </r>
  </si>
  <si>
    <t>tricks/30000203</t>
  </si>
  <si>
    <t>运气纳体</t>
  </si>
  <si>
    <t>hp_max|60;mp_max|25;</t>
  </si>
  <si>
    <r>
      <rPr>
        <sz val="11"/>
        <color theme="1"/>
        <rFont val="宋体"/>
        <family val="3"/>
        <charset val="134"/>
        <scheme val="minor"/>
      </rPr>
      <t>运气纳体：运气纳体，提升</t>
    </r>
    <r>
      <rPr>
        <sz val="11"/>
        <color rgb="FFFF0000"/>
        <rFont val="宋体"/>
        <family val="3"/>
        <charset val="134"/>
        <scheme val="minor"/>
      </rPr>
      <t>气血上限60</t>
    </r>
    <r>
      <rPr>
        <sz val="11"/>
        <color theme="1"/>
        <rFont val="宋体"/>
        <family val="3"/>
        <charset val="134"/>
        <scheme val="minor"/>
      </rPr>
      <t>点，</t>
    </r>
    <r>
      <rPr>
        <sz val="11"/>
        <color rgb="FFFF0000"/>
        <rFont val="宋体"/>
        <family val="3"/>
        <charset val="134"/>
        <scheme val="minor"/>
      </rPr>
      <t>内力上限25</t>
    </r>
    <r>
      <rPr>
        <sz val="11"/>
        <color theme="1"/>
        <rFont val="宋体"/>
        <family val="3"/>
        <charset val="134"/>
        <scheme val="minor"/>
      </rPr>
      <t>点。</t>
    </r>
  </si>
  <si>
    <t>tricks/20100301</t>
  </si>
  <si>
    <t>周天流转</t>
  </si>
  <si>
    <t>hp_reply|4;mp_reply|2;</t>
  </si>
  <si>
    <t>运纳功四重开启</t>
  </si>
  <si>
    <r>
      <rPr>
        <sz val="11"/>
        <color theme="1"/>
        <rFont val="宋体"/>
        <family val="3"/>
        <charset val="134"/>
        <scheme val="minor"/>
      </rPr>
      <t>周天流转：经脉周天流转，提升</t>
    </r>
    <r>
      <rPr>
        <sz val="11"/>
        <color rgb="FFFF0000"/>
        <rFont val="宋体"/>
        <family val="3"/>
        <charset val="134"/>
        <scheme val="minor"/>
      </rPr>
      <t>气血恢复</t>
    </r>
    <r>
      <rPr>
        <sz val="11"/>
        <color rgb="FFFF0000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点，提升</t>
    </r>
    <r>
      <rPr>
        <sz val="11"/>
        <color rgb="FFFF0000"/>
        <rFont val="宋体"/>
        <family val="3"/>
        <charset val="134"/>
        <scheme val="minor"/>
      </rPr>
      <t>内力恢复2</t>
    </r>
    <r>
      <rPr>
        <sz val="11"/>
        <color theme="1"/>
        <rFont val="宋体"/>
        <family val="3"/>
        <charset val="134"/>
        <scheme val="minor"/>
      </rPr>
      <t>点。</t>
    </r>
  </si>
  <si>
    <t>tricks/20100302</t>
  </si>
  <si>
    <t>不缚外物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</si>
  <si>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nUseMP,-cost*0.25</t>
    </r>
  </si>
  <si>
    <t>运纳功八重开启</t>
  </si>
  <si>
    <r>
      <rPr>
        <sz val="11"/>
        <color theme="1"/>
        <rFont val="宋体"/>
        <family val="3"/>
        <charset val="134"/>
        <scheme val="minor"/>
      </rPr>
      <t>不缚外物：吐纳冥冥，不缚外物，内力消耗减少</t>
    </r>
    <r>
      <rPr>
        <sz val="11"/>
        <color rgb="FFFF0000"/>
        <rFont val="宋体"/>
        <family val="3"/>
        <charset val="134"/>
        <scheme val="minor"/>
      </rPr>
      <t>25%</t>
    </r>
    <r>
      <rPr>
        <sz val="11"/>
        <color theme="1"/>
        <rFont val="宋体"/>
        <family val="3"/>
        <charset val="134"/>
        <scheme val="minor"/>
      </rPr>
      <t>。</t>
    </r>
  </si>
  <si>
    <t>tricks/20100303</t>
  </si>
  <si>
    <t>横铁练体</t>
  </si>
  <si>
    <t>soma|10;</t>
  </si>
  <si>
    <r>
      <rPr>
        <sz val="11"/>
        <color theme="1"/>
        <rFont val="宋体"/>
        <family val="3"/>
        <charset val="134"/>
        <scheme val="minor"/>
      </rPr>
      <t>横铁练体：锻打身躯，心若铁劲，提升</t>
    </r>
    <r>
      <rPr>
        <sz val="11"/>
        <color rgb="FFFF0000"/>
        <rFont val="宋体"/>
        <family val="3"/>
        <charset val="134"/>
        <scheme val="minor"/>
      </rPr>
      <t>筋骨10</t>
    </r>
    <r>
      <rPr>
        <sz val="11"/>
        <color theme="1"/>
        <rFont val="宋体"/>
        <family val="3"/>
        <charset val="134"/>
        <scheme val="minor"/>
      </rPr>
      <t>点。</t>
    </r>
  </si>
  <si>
    <t>tricks/20100401</t>
  </si>
  <si>
    <t>横式文练</t>
  </si>
  <si>
    <t>def|internal*1;</t>
  </si>
  <si>
    <t>铁骨横练功四重开启</t>
  </si>
  <si>
    <r>
      <rPr>
        <sz val="11"/>
        <color theme="1"/>
        <rFont val="宋体"/>
        <family val="3"/>
        <charset val="134"/>
        <scheme val="minor"/>
      </rPr>
      <t>横式文练：练空，悟空，用空，额外提升</t>
    </r>
    <r>
      <rPr>
        <sz val="11"/>
        <color rgb="FFFF0000"/>
        <rFont val="宋体"/>
        <family val="3"/>
        <charset val="134"/>
        <scheme val="minor"/>
      </rPr>
      <t>内息</t>
    </r>
    <r>
      <rPr>
        <sz val="11"/>
        <color theme="1"/>
        <rFont val="宋体"/>
        <family val="3"/>
        <charset val="134"/>
        <scheme val="minor"/>
      </rPr>
      <t>点防御。</t>
    </r>
  </si>
  <si>
    <t>tricks/20100402</t>
  </si>
  <si>
    <t>横练武架</t>
  </si>
  <si>
    <t>attack|soma*0.0001*attack;</t>
  </si>
  <si>
    <t>铁骨横练功八重开启</t>
  </si>
  <si>
    <r>
      <rPr>
        <sz val="11"/>
        <color theme="1"/>
        <rFont val="宋体"/>
        <family val="3"/>
        <charset val="134"/>
        <scheme val="minor"/>
      </rPr>
      <t>横练武架：练实，物实，用实，额外提升</t>
    </r>
    <r>
      <rPr>
        <sz val="11"/>
        <color rgb="FFFF0000"/>
        <rFont val="宋体"/>
        <family val="3"/>
        <charset val="134"/>
        <scheme val="minor"/>
      </rPr>
      <t>{0}%</t>
    </r>
    <r>
      <rPr>
        <sz val="11"/>
        <color theme="1"/>
        <rFont val="宋体"/>
        <family val="3"/>
        <charset val="134"/>
        <scheme val="minor"/>
      </rPr>
      <t>攻击力。</t>
    </r>
  </si>
  <si>
    <t>soma*0.1</t>
  </si>
  <si>
    <t>tricks/20100403</t>
  </si>
  <si>
    <t>hurt|force*2;onHurt|rate|0.4|AddBuff|1002|1</t>
  </si>
  <si>
    <r>
      <rPr>
        <sz val="11"/>
        <color theme="1"/>
        <rFont val="宋体"/>
        <family val="3"/>
        <charset val="134"/>
        <scheme val="minor"/>
      </rPr>
      <t>动物攻击，蛇类专属动作。造成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点伤害，且</t>
    </r>
    <r>
      <rPr>
        <sz val="11"/>
        <color rgb="FFFF0000"/>
        <rFont val="宋体"/>
        <family val="3"/>
        <charset val="134"/>
        <scheme val="minor"/>
      </rPr>
      <t>40</t>
    </r>
    <r>
      <rPr>
        <sz val="11"/>
        <color theme="1"/>
        <rFont val="宋体"/>
        <family val="3"/>
        <charset val="134"/>
        <scheme val="minor"/>
      </rPr>
      <t>%概率附带中毒效果。</t>
    </r>
  </si>
  <si>
    <t>tricks/11100201</t>
  </si>
  <si>
    <t>11100201,22,14</t>
  </si>
  <si>
    <t>莲花落</t>
  </si>
  <si>
    <t>hurt|force*3.8;</t>
  </si>
  <si>
    <t>mp,30</t>
  </si>
  <si>
    <r>
      <rPr>
        <sz val="11"/>
        <color theme="1"/>
        <rFont val="宋体"/>
        <family val="3"/>
        <charset val="134"/>
        <scheme val="minor"/>
      </rPr>
      <t>莲花落：莲花落生，遇水则灵，长棍迎头，造成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</si>
  <si>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force*3.8</t>
  </si>
  <si>
    <t>tricks/10400301</t>
  </si>
  <si>
    <t>Changbing/10400301,35,11,23</t>
  </si>
  <si>
    <t>莲不息</t>
  </si>
  <si>
    <t>OnHurt|rate|agile*0.001/3|attakAgain|useSkill|10400302</t>
  </si>
  <si>
    <t>落生莲花棍四重开启</t>
  </si>
  <si>
    <r>
      <rPr>
        <sz val="11"/>
        <color theme="1"/>
        <rFont val="宋体"/>
        <family val="3"/>
        <charset val="134"/>
        <scheme val="minor"/>
      </rPr>
      <t>莲不息：莲子落尽，生生不息，造成伤害后</t>
    </r>
    <r>
      <rPr>
        <sz val="11"/>
        <color rgb="FFFF0000"/>
        <rFont val="宋体"/>
        <family val="3"/>
        <charset val="134"/>
        <scheme val="minor"/>
      </rPr>
      <t>{0}%</t>
    </r>
    <r>
      <rPr>
        <sz val="11"/>
        <color theme="1"/>
        <rFont val="宋体"/>
        <family val="3"/>
        <charset val="134"/>
        <scheme val="minor"/>
      </rPr>
      <t>概率进行连击，连击造成等同于普通攻击的伤害。</t>
    </r>
  </si>
  <si>
    <t>agile/3.0</t>
  </si>
  <si>
    <t>tricks/10400302</t>
  </si>
  <si>
    <t>Changbing/10400302,20,7</t>
  </si>
  <si>
    <t>无穷碧</t>
  </si>
  <si>
    <t>OnAttackNoHurt|OnAttackAgain|hurt|force</t>
  </si>
  <si>
    <t>落生莲花棍七重开启</t>
  </si>
  <si>
    <r>
      <rPr>
        <sz val="11"/>
        <color theme="1"/>
        <rFont val="宋体"/>
        <family val="3"/>
        <charset val="134"/>
        <scheme val="minor"/>
      </rPr>
      <t>无穷碧：无穷碧叶接天地，若造成伤害后未进行连击，则下一次连击伤害提升</t>
    </r>
    <r>
      <rPr>
        <sz val="11"/>
        <color rgb="FFFF0000"/>
        <rFont val="宋体"/>
        <family val="3"/>
        <charset val="134"/>
        <scheme val="minor"/>
      </rPr>
      <t>武力</t>
    </r>
    <r>
      <rPr>
        <sz val="11"/>
        <color theme="1"/>
        <rFont val="宋体"/>
        <family val="3"/>
        <charset val="134"/>
        <scheme val="minor"/>
      </rPr>
      <t>点。</t>
    </r>
  </si>
  <si>
    <t>tricks/10400303</t>
  </si>
  <si>
    <t>叶连天</t>
  </si>
  <si>
    <t>evade|agile;</t>
  </si>
  <si>
    <t>落生莲花棍大圆满开启</t>
  </si>
  <si>
    <r>
      <rPr>
        <sz val="11"/>
        <color theme="1"/>
        <rFont val="宋体"/>
        <family val="3"/>
        <charset val="134"/>
        <scheme val="minor"/>
      </rPr>
      <t>叶连天：天水莲叶，碧空一色，提升</t>
    </r>
    <r>
      <rPr>
        <sz val="11"/>
        <color rgb="FFFF0000"/>
        <rFont val="宋体"/>
        <family val="3"/>
        <charset val="134"/>
        <scheme val="minor"/>
      </rPr>
      <t>身法</t>
    </r>
    <r>
      <rPr>
        <sz val="11"/>
        <color theme="1"/>
        <rFont val="宋体"/>
        <family val="3"/>
        <charset val="134"/>
        <scheme val="minor"/>
      </rPr>
      <t>点闪避。</t>
    </r>
  </si>
  <si>
    <t>tricks/10400304</t>
  </si>
  <si>
    <t>长袖出云</t>
  </si>
  <si>
    <t>hurt|force*2.4;</t>
  </si>
  <si>
    <r>
      <rPr>
        <sz val="11"/>
        <color theme="1"/>
        <rFont val="宋体"/>
        <family val="3"/>
        <charset val="134"/>
        <scheme val="minor"/>
      </rPr>
      <t>长袖出云：飞云穿袖，刺指胸心，迅疾的直刺造成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</si>
  <si>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force*2.4</t>
  </si>
  <si>
    <t>tricks/10800101</t>
  </si>
  <si>
    <t>shanzi/10800101,40,10,27</t>
  </si>
  <si>
    <t>藏云隐芒</t>
  </si>
  <si>
    <t>OnSkill|10800101|rate|0.2|attakAgain|hurt|force*4;</t>
  </si>
  <si>
    <t>云隙扇法四重开启</t>
  </si>
  <si>
    <r>
      <rPr>
        <sz val="11"/>
        <color theme="1"/>
        <rFont val="宋体"/>
        <family val="3"/>
        <charset val="134"/>
        <scheme val="minor"/>
      </rPr>
      <t>藏云隐芒：出手前隐蔽锋芒，只寻片刻时机制敌，施展长袖出云时有</t>
    </r>
    <r>
      <rPr>
        <sz val="11"/>
        <color rgb="FFFF0000"/>
        <rFont val="宋体"/>
        <family val="3"/>
        <charset val="134"/>
        <scheme val="minor"/>
      </rPr>
      <t>20%</t>
    </r>
    <r>
      <rPr>
        <sz val="11"/>
        <color theme="1"/>
        <rFont val="宋体"/>
        <family val="3"/>
        <charset val="134"/>
        <scheme val="minor"/>
      </rPr>
      <t>概率进行二段攻击，扇面展开额外造成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</t>
    </r>
  </si>
  <si>
    <t>force*4</t>
  </si>
  <si>
    <t>tricks/10800102</t>
  </si>
  <si>
    <t>shanzi/10800102,24,12</t>
  </si>
  <si>
    <t>云裂石惊</t>
  </si>
  <si>
    <t>upSkillRate,10800102,agile*0.01</t>
  </si>
  <si>
    <t>云隙扇法八重开启</t>
  </si>
  <si>
    <r>
      <rPr>
        <sz val="11"/>
        <color theme="1"/>
        <rFont val="宋体"/>
        <family val="3"/>
        <charset val="134"/>
        <scheme val="minor"/>
      </rPr>
      <t>云裂石惊：时机已至，一击必杀，额外提升</t>
    </r>
    <r>
      <rPr>
        <sz val="11"/>
        <color rgb="FFFF0000"/>
        <rFont val="宋体"/>
        <family val="3"/>
        <charset val="134"/>
        <scheme val="minor"/>
      </rPr>
      <t>身法%</t>
    </r>
    <r>
      <rPr>
        <sz val="11"/>
        <color theme="1"/>
        <rFont val="宋体"/>
        <family val="3"/>
        <charset val="134"/>
        <scheme val="minor"/>
      </rPr>
      <t>点藏云隐芒的触发概率。</t>
    </r>
  </si>
  <si>
    <t>tricks/10800103</t>
  </si>
  <si>
    <t>野马分鬃</t>
  </si>
  <si>
    <t>hurt|force*1.6;</t>
  </si>
  <si>
    <r>
      <rPr>
        <sz val="11"/>
        <color theme="1"/>
        <rFont val="宋体"/>
        <family val="3"/>
        <charset val="134"/>
        <scheme val="minor"/>
      </rPr>
      <t>mp,</t>
    </r>
    <r>
      <rPr>
        <sz val="11"/>
        <color theme="1"/>
        <rFont val="宋体"/>
        <family val="3"/>
        <charset val="134"/>
        <scheme val="minor"/>
      </rPr>
      <t>25</t>
    </r>
  </si>
  <si>
    <r>
      <rPr>
        <sz val="11"/>
        <color theme="1"/>
        <rFont val="宋体"/>
        <family val="3"/>
        <charset val="134"/>
        <scheme val="minor"/>
      </rPr>
      <t>F,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；B,</t>
    </r>
    <r>
      <rPr>
        <sz val="11"/>
        <color theme="1"/>
        <rFont val="宋体"/>
        <family val="3"/>
        <charset val="134"/>
        <scheme val="minor"/>
      </rPr>
      <t>3</t>
    </r>
  </si>
  <si>
    <r>
      <rPr>
        <sz val="11"/>
        <color theme="1"/>
        <rFont val="宋体"/>
        <family val="3"/>
        <charset val="134"/>
        <scheme val="minor"/>
      </rPr>
      <t>野马分鬃：动在舒展，劲在腰身，更迭而舞，其转无间，造成</t>
    </r>
    <r>
      <rPr>
        <sz val="11"/>
        <color rgb="FFFF0000"/>
        <rFont val="宋体"/>
        <family val="3"/>
        <charset val="134"/>
        <scheme val="minor"/>
      </rPr>
      <t>两</t>
    </r>
    <r>
      <rPr>
        <sz val="11"/>
        <color theme="1"/>
        <rFont val="宋体"/>
        <family val="3"/>
        <charset val="134"/>
        <scheme val="minor"/>
      </rPr>
      <t>段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点伤害。 【武力加成】</t>
    </r>
  </si>
  <si>
    <t>tricks/10100501</t>
  </si>
  <si>
    <t>Quan/10100501,52,26,39</t>
  </si>
  <si>
    <t>雀不飞</t>
  </si>
  <si>
    <t>def|soma;evade|25;</t>
  </si>
  <si>
    <t>太和绵掌四重开启</t>
  </si>
  <si>
    <r>
      <rPr>
        <sz val="11"/>
        <color theme="1"/>
        <rFont val="宋体"/>
        <family val="3"/>
        <charset val="134"/>
        <scheme val="minor"/>
      </rPr>
      <t>雀不飞：其势深沉，其气无隙，故掌中无可倚力者，纵雀难飞。提升</t>
    </r>
    <r>
      <rPr>
        <sz val="11"/>
        <color rgb="FFFF0000"/>
        <rFont val="宋体"/>
        <family val="3"/>
        <charset val="134"/>
        <scheme val="minor"/>
      </rPr>
      <t>筋骨</t>
    </r>
    <r>
      <rPr>
        <sz val="11"/>
        <color theme="1"/>
        <rFont val="宋体"/>
        <family val="3"/>
        <charset val="134"/>
        <scheme val="minor"/>
      </rPr>
      <t>点防御，提升</t>
    </r>
    <r>
      <rPr>
        <sz val="11"/>
        <color rgb="FFFF0000"/>
        <rFont val="宋体"/>
        <family val="3"/>
        <charset val="134"/>
        <scheme val="minor"/>
      </rPr>
      <t>25</t>
    </r>
    <r>
      <rPr>
        <sz val="11"/>
        <color theme="1"/>
        <rFont val="宋体"/>
        <family val="3"/>
        <charset val="134"/>
        <scheme val="minor"/>
      </rPr>
      <t>点闪避率。</t>
    </r>
  </si>
  <si>
    <t>tricks/10100502</t>
  </si>
  <si>
    <t>生太极</t>
  </si>
  <si>
    <r>
      <rPr>
        <sz val="11"/>
        <color theme="1"/>
        <rFont val="宋体"/>
        <family val="3"/>
        <charset val="134"/>
        <scheme val="minor"/>
      </rPr>
      <t>OnHurt|rate|0.2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|attack|-0.2*attack</t>
    </r>
  </si>
  <si>
    <t>太和绵掌八重开启</t>
  </si>
  <si>
    <r>
      <rPr>
        <sz val="11"/>
        <color theme="1"/>
        <rFont val="宋体"/>
        <family val="3"/>
        <charset val="134"/>
        <scheme val="minor"/>
      </rPr>
      <t>生太极：真武之学，暗合先天，每次受到伤害时</t>
    </r>
    <r>
      <rPr>
        <sz val="11"/>
        <color rgb="FFFF0000"/>
        <rFont val="宋体"/>
        <family val="3"/>
        <charset val="134"/>
        <scheme val="minor"/>
      </rPr>
      <t>25%</t>
    </r>
    <r>
      <rPr>
        <sz val="11"/>
        <color theme="1"/>
        <rFont val="宋体"/>
        <family val="3"/>
        <charset val="134"/>
        <scheme val="minor"/>
      </rPr>
      <t>概率减免</t>
    </r>
    <r>
      <rPr>
        <sz val="11"/>
        <color rgb="FFFF0000"/>
        <rFont val="宋体"/>
        <family val="3"/>
        <charset val="134"/>
        <scheme val="minor"/>
      </rPr>
      <t>20%</t>
    </r>
    <r>
      <rPr>
        <sz val="11"/>
        <color theme="1"/>
        <rFont val="宋体"/>
        <family val="3"/>
        <charset val="134"/>
        <scheme val="minor"/>
      </rPr>
      <t>伤害。</t>
    </r>
  </si>
  <si>
    <t>tricks/10100503</t>
  </si>
  <si>
    <t>剑分阴阳</t>
  </si>
  <si>
    <t>hurt|force*2.5;</t>
  </si>
  <si>
    <t>mp,23</t>
  </si>
  <si>
    <r>
      <rPr>
        <sz val="11"/>
        <color theme="1"/>
        <rFont val="宋体"/>
        <family val="3"/>
        <charset val="134"/>
        <scheme val="minor"/>
      </rPr>
      <t>F,2</t>
    </r>
    <r>
      <rPr>
        <sz val="11"/>
        <color theme="1"/>
        <rFont val="宋体"/>
        <family val="3"/>
        <charset val="134"/>
        <scheme val="minor"/>
      </rPr>
      <t>；B,</t>
    </r>
    <r>
      <rPr>
        <sz val="11"/>
        <color theme="1"/>
        <rFont val="宋体"/>
        <family val="3"/>
        <charset val="134"/>
        <scheme val="minor"/>
      </rPr>
      <t>3</t>
    </r>
  </si>
  <si>
    <r>
      <rPr>
        <sz val="11"/>
        <color theme="1"/>
        <rFont val="宋体"/>
        <family val="3"/>
        <charset val="134"/>
        <scheme val="minor"/>
      </rPr>
      <t>剑分阴阳：剑分阴阳两极之气，晓知自然化生之奇，剑势绵绵不断，造成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 xml:space="preserve">点伤害。    </t>
    </r>
  </si>
  <si>
    <t>force*2.5</t>
  </si>
  <si>
    <t>tricks/10200501</t>
  </si>
  <si>
    <t>Jian/10200501,38,26</t>
  </si>
  <si>
    <t>剑割昏晓</t>
  </si>
  <si>
    <t>onHurt|atkAgainRate|(agile*0.4)/100;</t>
  </si>
  <si>
    <t>两仪剑法四重开启</t>
  </si>
  <si>
    <r>
      <rPr>
        <sz val="11"/>
        <color theme="1"/>
        <rFont val="宋体"/>
        <family val="3"/>
        <charset val="134"/>
        <scheme val="minor"/>
      </rPr>
      <t>剑割昏晓：阴阳明，则晓夜分，施展剑分阴阳时，有</t>
    </r>
    <r>
      <rPr>
        <sz val="11"/>
        <color rgb="FFFF0000"/>
        <rFont val="宋体"/>
        <family val="3"/>
        <charset val="134"/>
        <scheme val="minor"/>
      </rPr>
      <t>{0}%</t>
    </r>
    <r>
      <rPr>
        <sz val="11"/>
        <color theme="1"/>
        <rFont val="宋体"/>
        <family val="3"/>
        <charset val="134"/>
        <scheme val="minor"/>
      </rPr>
      <t>会额外进行</t>
    </r>
    <r>
      <rPr>
        <sz val="1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次连击。</t>
    </r>
  </si>
  <si>
    <t>agile*0.4</t>
  </si>
  <si>
    <t>tricks/10200502</t>
  </si>
  <si>
    <t>两仪剑法八重开启</t>
  </si>
  <si>
    <t>tricks/10200503</t>
  </si>
  <si>
    <t>守心归一</t>
  </si>
  <si>
    <t>OnUseMP,-cost*0.3</t>
  </si>
  <si>
    <r>
      <rPr>
        <sz val="11"/>
        <color theme="1"/>
        <rFont val="宋体"/>
        <family val="3"/>
        <charset val="134"/>
        <scheme val="minor"/>
      </rPr>
      <t>守心归一：意沉守神，方形体不敝，精神不散，内力消耗减少</t>
    </r>
    <r>
      <rPr>
        <sz val="11"/>
        <color rgb="FFFF0000"/>
        <rFont val="宋体"/>
        <family val="3"/>
        <charset val="134"/>
        <scheme val="minor"/>
      </rPr>
      <t>30%</t>
    </r>
    <r>
      <rPr>
        <sz val="11"/>
        <color theme="1"/>
        <rFont val="宋体"/>
        <family val="3"/>
        <charset val="134"/>
        <scheme val="minor"/>
      </rPr>
      <t>。</t>
    </r>
  </si>
  <si>
    <t>tricks/20400101</t>
  </si>
  <si>
    <t>自然之辩</t>
  </si>
  <si>
    <t>mp_reply|internal*0.25</t>
  </si>
  <si>
    <t>抱元守一四重开启</t>
  </si>
  <si>
    <r>
      <rPr>
        <sz val="11"/>
        <color theme="1"/>
        <rFont val="宋体"/>
        <family val="3"/>
        <charset val="134"/>
        <scheme val="minor"/>
      </rPr>
      <t>自然之辩：天人冥冥，自然感应，其造化之辩，非守一不可造也，提升</t>
    </r>
    <r>
      <rPr>
        <sz val="11"/>
        <color rgb="FFFF0000"/>
        <rFont val="宋体"/>
        <family val="3"/>
        <charset val="134"/>
        <scheme val="minor"/>
      </rPr>
      <t>{0}点</t>
    </r>
    <r>
      <rPr>
        <sz val="11"/>
        <color theme="1"/>
        <rFont val="宋体"/>
        <family val="3"/>
        <charset val="134"/>
        <scheme val="minor"/>
      </rPr>
      <t>内力回复。</t>
    </r>
  </si>
  <si>
    <t>internal*0.25</t>
  </si>
  <si>
    <t>tricks/20400102</t>
  </si>
  <si>
    <t>太和清气</t>
  </si>
  <si>
    <t>OnAddHp|rate|0.7|removeBuff|1002</t>
  </si>
  <si>
    <t>抱元守一八重开启</t>
  </si>
  <si>
    <r>
      <rPr>
        <sz val="11"/>
        <color theme="1"/>
        <rFont val="宋体"/>
        <family val="3"/>
        <charset val="134"/>
        <scheme val="minor"/>
      </rPr>
      <t>太和清气：渺渺仙山何处，太和止路，洗象更新。恢复时</t>
    </r>
    <r>
      <rPr>
        <sz val="11"/>
        <color rgb="FFFF0000"/>
        <rFont val="宋体"/>
        <family val="3"/>
        <charset val="134"/>
        <scheme val="minor"/>
      </rPr>
      <t>70%</t>
    </r>
    <r>
      <rPr>
        <sz val="11"/>
        <color theme="1"/>
        <rFont val="宋体"/>
        <family val="3"/>
        <charset val="134"/>
        <scheme val="minor"/>
      </rPr>
      <t>概率解除中毒的负面状态。</t>
    </r>
  </si>
  <si>
    <t>tricks/20400103</t>
  </si>
  <si>
    <t>纵青云</t>
  </si>
  <si>
    <t>speed|agile;</t>
  </si>
  <si>
    <r>
      <rPr>
        <sz val="11"/>
        <color theme="1"/>
        <rFont val="宋体"/>
        <family val="3"/>
        <charset val="134"/>
        <scheme val="minor"/>
      </rPr>
      <t>真武最负盛名的轻身功法，人言若脚踏云梯，直上青云。提升</t>
    </r>
    <r>
      <rPr>
        <sz val="11"/>
        <color rgb="FFFF0000"/>
        <rFont val="宋体"/>
        <family val="3"/>
        <charset val="134"/>
        <scheme val="minor"/>
      </rPr>
      <t>{0}</t>
    </r>
    <r>
      <rPr>
        <sz val="11"/>
        <color theme="1"/>
        <rFont val="宋体"/>
        <family val="3"/>
        <charset val="134"/>
        <scheme val="minor"/>
      </rPr>
      <t>点速度。</t>
    </r>
  </si>
  <si>
    <t>agile</t>
  </si>
  <si>
    <t>tricks/30000301</t>
  </si>
  <si>
    <t>踏云烟</t>
  </si>
  <si>
    <r>
      <rPr>
        <sz val="11"/>
        <color theme="1"/>
        <rFont val="宋体"/>
        <family val="3"/>
        <charset val="134"/>
        <scheme val="minor"/>
      </rPr>
      <t>evade|</t>
    </r>
    <r>
      <rPr>
        <sz val="11"/>
        <color theme="1"/>
        <rFont val="宋体"/>
        <family val="3"/>
        <charset val="134"/>
        <scheme val="minor"/>
      </rPr>
      <t>42</t>
    </r>
    <r>
      <rPr>
        <sz val="11"/>
        <color theme="1"/>
        <rFont val="宋体"/>
        <family val="3"/>
        <charset val="134"/>
        <scheme val="minor"/>
      </rPr>
      <t>;</t>
    </r>
  </si>
  <si>
    <t>梯云纵四重开启</t>
  </si>
  <si>
    <r>
      <rPr>
        <sz val="11"/>
        <color theme="1"/>
        <rFont val="宋体"/>
        <family val="3"/>
        <charset val="134"/>
        <scheme val="minor"/>
      </rPr>
      <t>踏云烟：身法灵动，逸乎自然之道，闪避提升</t>
    </r>
    <r>
      <rPr>
        <sz val="11"/>
        <color rgb="FFFF0000"/>
        <rFont val="宋体"/>
        <family val="3"/>
        <charset val="134"/>
        <scheme val="minor"/>
      </rPr>
      <t>42</t>
    </r>
    <r>
      <rPr>
        <sz val="11"/>
        <color theme="1"/>
        <rFont val="宋体"/>
        <family val="3"/>
        <charset val="134"/>
        <scheme val="minor"/>
      </rPr>
      <t>。</t>
    </r>
  </si>
  <si>
    <t>tricks/30000302</t>
  </si>
  <si>
    <t>唤云气</t>
  </si>
  <si>
    <t>def|66</t>
  </si>
  <si>
    <t>梯云纵八重开启</t>
  </si>
  <si>
    <r>
      <rPr>
        <sz val="11"/>
        <color theme="1"/>
        <rFont val="宋体"/>
        <family val="3"/>
        <charset val="134"/>
        <scheme val="minor"/>
      </rPr>
      <t>唤云气：步履若云气，缥缈若隐仙，不拘外物，不束己身，提升</t>
    </r>
    <r>
      <rPr>
        <sz val="11"/>
        <color rgb="FFFF0000"/>
        <rFont val="宋体"/>
        <family val="3"/>
        <charset val="134"/>
        <scheme val="minor"/>
      </rPr>
      <t>66</t>
    </r>
    <r>
      <rPr>
        <sz val="11"/>
        <color theme="1"/>
        <rFont val="宋体"/>
        <family val="3"/>
        <charset val="134"/>
        <scheme val="minor"/>
      </rPr>
      <t>防御力。</t>
    </r>
  </si>
  <si>
    <t>tricks/30000303</t>
  </si>
  <si>
    <t>hurt|7;</t>
  </si>
  <si>
    <r>
      <rPr>
        <sz val="11"/>
        <color theme="1"/>
        <rFont val="宋体"/>
        <family val="3"/>
        <charset val="134"/>
        <scheme val="minor"/>
      </rPr>
      <t>恶狗扑食：向前飞扑，双臂合拢宛若猛獒撕咬，造成{</t>
    </r>
    <r>
      <rPr>
        <sz val="11"/>
        <color theme="1"/>
        <rFont val="宋体"/>
        <family val="3"/>
        <charset val="134"/>
        <scheme val="minor"/>
      </rPr>
      <t>0}</t>
    </r>
    <r>
      <rPr>
        <sz val="11"/>
        <color theme="1"/>
        <rFont val="宋体"/>
        <family val="3"/>
        <charset val="134"/>
        <scheme val="minor"/>
      </rPr>
      <t>点伤害。【武力加成】</t>
    </r>
  </si>
  <si>
    <t>hurt|9</t>
  </si>
  <si>
    <t>hurt|5;</t>
  </si>
  <si>
    <t>hurt|3;</t>
  </si>
  <si>
    <t>hurt|10;</t>
  </si>
  <si>
    <t>hurt|9;</t>
  </si>
  <si>
    <t>hurt|10</t>
  </si>
  <si>
    <t>hurt|12</t>
  </si>
  <si>
    <r>
      <rPr>
        <sz val="11"/>
        <color theme="1"/>
        <rFont val="宋体"/>
        <family val="3"/>
        <charset val="134"/>
        <scheme val="minor"/>
      </rPr>
      <t>hurt|18</t>
    </r>
    <r>
      <rPr>
        <sz val="11"/>
        <color theme="1"/>
        <rFont val="宋体"/>
        <family val="3"/>
        <charset val="134"/>
        <scheme val="minor"/>
      </rPr>
      <t>;</t>
    </r>
  </si>
  <si>
    <t>force*2.6</t>
  </si>
  <si>
    <r>
      <rPr>
        <sz val="11"/>
        <color theme="1"/>
        <rFont val="宋体"/>
        <family val="3"/>
        <charset val="134"/>
        <scheme val="minor"/>
      </rPr>
      <t>hurt|13</t>
    </r>
    <r>
      <rPr>
        <sz val="11"/>
        <color theme="1"/>
        <rFont val="宋体"/>
        <family val="3"/>
        <charset val="134"/>
        <scheme val="minor"/>
      </rPr>
      <t>;</t>
    </r>
  </si>
  <si>
    <r>
      <rPr>
        <sz val="11"/>
        <color theme="1"/>
        <rFont val="宋体"/>
        <family val="3"/>
        <charset val="134"/>
        <scheme val="minor"/>
      </rPr>
      <t>hurt|17</t>
    </r>
    <r>
      <rPr>
        <sz val="11"/>
        <color theme="1"/>
        <rFont val="宋体"/>
        <family val="3"/>
        <charset val="134"/>
        <scheme val="minor"/>
      </rPr>
      <t>;</t>
    </r>
  </si>
  <si>
    <t>hurt|32;</t>
  </si>
  <si>
    <t>hurt|18;</t>
  </si>
  <si>
    <t>心诀ID</t>
  </si>
  <si>
    <t>心诀名</t>
  </si>
  <si>
    <t>对应招式</t>
  </si>
  <si>
    <t>心诀效果</t>
  </si>
  <si>
    <t>冲突心诀</t>
  </si>
  <si>
    <t>描述</t>
  </si>
  <si>
    <t>对应ICON</t>
  </si>
  <si>
    <t>xg</t>
  </si>
  <si>
    <t>ct</t>
  </si>
  <si>
    <t>tip</t>
  </si>
  <si>
    <t>长雁</t>
  </si>
  <si>
    <t>招式【孤鸿照影】的移动距离提升30%。</t>
  </si>
  <si>
    <t>返鸾</t>
  </si>
  <si>
    <t>施展招式【孤鸿照影】后，将获得buff：返鸾（返鸾：不受任何伤害和控制效果的影响）持续1秒。</t>
  </si>
  <si>
    <t>鸳折</t>
  </si>
  <si>
    <t>施展招式【孤鸿照影】时，自身获得buff：返鸾。此心决无法与心决【返鸾】同时使用。</t>
  </si>
  <si>
    <t>悲鸣</t>
  </si>
  <si>
    <t>无敌2秒</t>
  </si>
  <si>
    <t>放词</t>
  </si>
  <si>
    <t>招式【归去来】的伤害范围提升50%，伤害提升100%，但折扇不再返回。</t>
  </si>
  <si>
    <t>凌散</t>
  </si>
  <si>
    <r>
      <rPr>
        <sz val="10.5"/>
        <color theme="1"/>
        <rFont val="宋体"/>
        <family val="3"/>
        <charset val="134"/>
        <scheme val="minor"/>
      </rPr>
      <t>招式【空余目】释放时不再具有伤害，但对敌方的致盲时长增加至（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  <scheme val="minor"/>
      </rPr>
      <t>）秒。</t>
    </r>
  </si>
  <si>
    <t>风骨</t>
  </si>
  <si>
    <r>
      <rPr>
        <sz val="10.5"/>
        <color theme="1"/>
        <rFont val="宋体"/>
        <family val="3"/>
        <charset val="134"/>
        <scheme val="minor"/>
      </rPr>
      <t>【穷途】触发时，立即重置招式【空余目】冷却</t>
    </r>
    <r>
      <rPr>
        <sz val="10.5"/>
        <color theme="1"/>
        <rFont val="Calibri"/>
        <family val="2"/>
      </rPr>
      <t>CD</t>
    </r>
    <r>
      <rPr>
        <sz val="10.5"/>
        <color theme="1"/>
        <rFont val="宋体"/>
        <family val="3"/>
        <charset val="134"/>
        <scheme val="minor"/>
      </rPr>
      <t>。</t>
    </r>
  </si>
  <si>
    <t>肆宴</t>
  </si>
  <si>
    <r>
      <rPr>
        <sz val="10.5"/>
        <color theme="1"/>
        <rFont val="宋体"/>
        <family val="3"/>
        <charset val="134"/>
        <scheme val="minor"/>
      </rPr>
      <t>招式【萧意寒】的伤害提升</t>
    </r>
    <r>
      <rPr>
        <sz val="10.5"/>
        <color theme="1"/>
        <rFont val="Calibri"/>
        <family val="2"/>
      </rPr>
      <t>50%</t>
    </r>
    <r>
      <rPr>
        <sz val="10.5"/>
        <color theme="1"/>
        <rFont val="宋体"/>
        <family val="3"/>
        <charset val="134"/>
        <scheme val="minor"/>
      </rPr>
      <t>，但每次触发【萧意寒】需消耗（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  <scheme val="minor"/>
      </rPr>
      <t>）点真气。</t>
    </r>
  </si>
  <si>
    <t>知秋</t>
  </si>
  <si>
    <t>每次获得buff【难觅】时，将立即刷新【问秋风】的CD</t>
  </si>
  <si>
    <t>摧眉</t>
  </si>
  <si>
    <r>
      <rPr>
        <sz val="10.5"/>
        <color theme="1"/>
        <rFont val="宋体"/>
        <family val="3"/>
        <charset val="134"/>
      </rPr>
      <t>扇法的普通攻击造成的伤害提升（</t>
    </r>
    <r>
      <rPr>
        <sz val="10.5"/>
        <color theme="1"/>
        <rFont val="Calibri"/>
        <family val="2"/>
      </rPr>
      <t>30%</t>
    </r>
    <r>
      <rPr>
        <sz val="10.5"/>
        <color theme="1"/>
        <rFont val="宋体"/>
        <family val="3"/>
        <charset val="134"/>
      </rPr>
      <t>），获取的真气量降低（</t>
    </r>
    <r>
      <rPr>
        <sz val="10.5"/>
        <color theme="1"/>
        <rFont val="Calibri"/>
        <family val="2"/>
      </rPr>
      <t>20%</t>
    </r>
    <r>
      <rPr>
        <sz val="10.5"/>
        <color theme="1"/>
        <rFont val="宋体"/>
        <family val="3"/>
        <charset val="134"/>
      </rPr>
      <t>）。</t>
    </r>
  </si>
  <si>
    <t>乃绝</t>
  </si>
  <si>
    <t>每10秒给自身一个BUFF，最多可叠加3次，当攻击敌方附带负面状态时，额外对敌方造成（X）点伤害。</t>
  </si>
  <si>
    <t>秘术ID</t>
  </si>
  <si>
    <t>秘术名称</t>
  </si>
  <si>
    <t>所属道具ID</t>
  </si>
  <si>
    <t>秘术占用cost值（悟性值）</t>
  </si>
  <si>
    <t>秘术效果文本</t>
  </si>
  <si>
    <t>秘术效果</t>
  </si>
  <si>
    <t>图标</t>
  </si>
  <si>
    <t>所属</t>
  </si>
  <si>
    <t>秘术分类</t>
  </si>
  <si>
    <t>参数1</t>
  </si>
  <si>
    <t>秘术效果文本备用</t>
  </si>
  <si>
    <t>ItemID</t>
  </si>
  <si>
    <t>textEffect</t>
  </si>
  <si>
    <t>SanCaiBookType</t>
  </si>
  <si>
    <t>c1</t>
  </si>
  <si>
    <t>天衍·夕落卷</t>
  </si>
  <si>
    <t>装配此卷的角色持单手轻刃、扇法时外功攻击额外提升5%。</t>
  </si>
  <si>
    <t>攻击力,0.10</t>
  </si>
  <si>
    <t>sancaishutian</t>
  </si>
  <si>
    <t>无锋残阳，日暮西落，此卷心念黯然散淡，招式似龙蛇气逸，不拘规章。</t>
  </si>
  <si>
    <t>天衍·裂石卷</t>
  </si>
  <si>
    <t>装配此卷的角色持拳掌、腿脚时外功和内功攻击额外提升5%。</t>
  </si>
  <si>
    <t>拳掌百锻，亦得坚猛，真力到处，裂石开碑易如反掌。</t>
  </si>
  <si>
    <t>天衍·破军卷</t>
  </si>
  <si>
    <t>装配此卷的角色持重刃、长兵时外功和内功攻击额外提升5%。</t>
  </si>
  <si>
    <t>英雄本学万人敌，何须屑屑悲红妆。力贯千钧，纵使重刃无锋，仍能衣甲平过。</t>
  </si>
  <si>
    <t>天衍·桃花卷</t>
  </si>
  <si>
    <t>装配此卷的角色持绳镖、软鞭时外功和内功攻击额外提升5%。</t>
  </si>
  <si>
    <t>桃花人面，势若春水，柔若初情，千军自破。</t>
  </si>
  <si>
    <t>天衍·摘星卷</t>
  </si>
  <si>
    <t>装配此卷的角色持暗器、火器、弓箭时外功和内功攻击额外提升5%。</t>
  </si>
  <si>
    <t>唐门前代门主唐恨所撰，本是唐门不传之秘，但却不知为何，于近年间流入江湖。</t>
  </si>
  <si>
    <t>天衍·须佐卷</t>
  </si>
  <si>
    <t>装配此卷的角色持双手轻刃、短兵时外功和内功攻击额外提升5%。</t>
  </si>
  <si>
    <t>海客谈瀛洲，烟涛微茫信难求。此乃东瀛流传而来的秘卷，不知何人所撰，其中奥妙晦涩难言。</t>
  </si>
  <si>
    <t>天衍·望山卷</t>
  </si>
  <si>
    <t>装配此卷的角色施展拳掌、腿脚武学将获得额外5%外功和内功攻击的提升。</t>
  </si>
  <si>
    <t>此册秘卷所载望山观脉之法晦涩难言，然若能依法而行，许能有获。</t>
  </si>
  <si>
    <t>天衍·凌云卷</t>
  </si>
  <si>
    <t>装配此卷的角色施展单手轻刃、扇法武学将获得额外5%外功和内功攻击的提升。</t>
  </si>
  <si>
    <t>愿遂凌云志，直上数千尺，此册秘卷乃旧朝高人写就，奥妙无穷。</t>
  </si>
  <si>
    <t>天衍·西风卷</t>
  </si>
  <si>
    <t>装配此卷的角色施展重剑、长兵武学将获得额外5%外功伤害的提升。</t>
  </si>
  <si>
    <t>西风长肃，边城如昨，岿然莫撼，动则有千钧之力。</t>
  </si>
  <si>
    <t>天衍·相思卷</t>
  </si>
  <si>
    <t>装配此卷的角色施展暗器、火器、弓箭武学将获得额外5%外功和内功攻击的提升。</t>
  </si>
  <si>
    <t>最伤人者，莫过相思，此乃昔年马踏江湖时自唐门中流出之物。</t>
  </si>
  <si>
    <t>天衍·建御卷</t>
  </si>
  <si>
    <t>装配此卷的角色施展双手轻刃、短兵武学将获得额外5%外功和内功攻击的提升。</t>
  </si>
  <si>
    <t>天衍·泄玉卷</t>
  </si>
  <si>
    <t>装配此卷的角色施展绳镖、软鞭武学将获得额外5%外功和内功攻击的提升。</t>
  </si>
  <si>
    <t>此册秘卷中所载之势如万丈鸿瀑，尽述以柔克刚之精要。</t>
  </si>
  <si>
    <t>天衍·狮搏卷</t>
  </si>
  <si>
    <t>装配此卷的角色外功攻击提升10%。</t>
  </si>
  <si>
    <t>雄狮搏兔亦尽全力，自起势之时，劲力皆出，谓大道之勇。</t>
  </si>
  <si>
    <t>天衍·敛瀑卷</t>
  </si>
  <si>
    <t>装配此卷的角色内功攻击提升10%。</t>
  </si>
  <si>
    <t>千川挂海，飞瀑奔流，此谓形之势，无可避，无可当。</t>
  </si>
  <si>
    <t>天衍·长生卷</t>
  </si>
  <si>
    <t>装配此卷的角色技能调息时长额外降低10%。</t>
  </si>
  <si>
    <t>长生结发，劲藏寓体，乃道家藏劲之法，暗合天道。</t>
  </si>
  <si>
    <t>天衍·震乾卷</t>
  </si>
  <si>
    <t>装配此卷的角色暴击概率提升5%。</t>
  </si>
  <si>
    <t>震行无眚，代天刑罚，正法之乾。</t>
  </si>
  <si>
    <t>天衍·镇厌卷</t>
  </si>
  <si>
    <t>装配此卷的角色暴击伤害提升10%。</t>
  </si>
  <si>
    <t>以势镇，以形伏，破其一指，攻敌一线。</t>
  </si>
  <si>
    <t>天衍·弃世卷</t>
  </si>
  <si>
    <t>装配此卷的角色施展招式造成伤害时有极低概率1%为目标添加【即死】状态。【即死：立即死亡，此状态无法添加至BOSS目标】</t>
  </si>
  <si>
    <t>红尘逆旅，弃世难存，此卷来历难究，据传习者皆凄惨横死，实为不详。</t>
  </si>
  <si>
    <t>天衍·晦朔卷</t>
  </si>
  <si>
    <t>装配此卷的角色内功攻击提升自身10%的外功攻击力，【仅限女子可以习练此卷】</t>
  </si>
  <si>
    <t>月相晦朔，人亦悲欢，隐月楼秘传之术，非女子无法习练。</t>
  </si>
  <si>
    <t>天衍·喋喰卷</t>
  </si>
  <si>
    <t>装配此卷的角色吸血提升5%。</t>
  </si>
  <si>
    <t>刀祖”于红梅所创，其人诛尽大雪山言曰：人为刀俎，我为鱼肉，今，吾当为刀俎。</t>
  </si>
  <si>
    <t>地覆·混元卷</t>
  </si>
  <si>
    <t>装配此卷的角色受到的内功防御与外功防御皆提升5%。</t>
  </si>
  <si>
    <t>sancaishudi</t>
  </si>
  <si>
    <t>清浊之辨，融汇成元，无分清浊，方可纳百川万物。</t>
  </si>
  <si>
    <t>地覆·万生卷</t>
  </si>
  <si>
    <t>装配此卷的角色通过所有途径获得的治疗与恢复成效上升10%</t>
  </si>
  <si>
    <t>地载万物，可得生长，命魂心体，皆系于此。</t>
  </si>
  <si>
    <t>地覆·垒峦卷</t>
  </si>
  <si>
    <t>装配此卷的角色每拥有1068点气血最大值，则提升外功防御1%，最大防御不超过5%。</t>
  </si>
  <si>
    <t>聚少成多，积沙成塔，故垒之峦，跬步可成岳山。</t>
  </si>
  <si>
    <t>地覆·开疆卷</t>
  </si>
  <si>
    <t>装配此卷的角色每拥有260点外功防御，则提升外功攻击1%点。最大外功攻击不超过5%</t>
  </si>
  <si>
    <t>传自镇国卫行伍间结阵攻坚之法，寓攻于守，拓土开疆，其势不衰。</t>
  </si>
  <si>
    <t>地覆·诸御卷</t>
  </si>
  <si>
    <t>装配此卷的角色免暴概率提升10%。</t>
  </si>
  <si>
    <t>空远方丈曾言，禅修百载，无所诸欲不可御，无所诸心不可新，此卷为其所悟之学片语。</t>
  </si>
  <si>
    <t>地覆·万钟卷</t>
  </si>
  <si>
    <t>装配此卷的角色内功防御提升10%。</t>
  </si>
  <si>
    <t>晚钟南屏，可得心禅两明，涤尘洗俗，证金钟慈悲广厦音。</t>
  </si>
  <si>
    <t>地覆·固源卷</t>
  </si>
  <si>
    <t>装配此卷的角色暴击减免提升10%。</t>
  </si>
  <si>
    <t>人世若梦，似虚如幻，唯固源守心，得气息在在，逍遥广大。</t>
  </si>
  <si>
    <t>地覆·架擎卷</t>
  </si>
  <si>
    <t>装配此卷的角色暴击伤害减免提升10%。</t>
  </si>
  <si>
    <t>壁城水寨连天云二十七岁，诛十二水寨，收百川江河水贼而纳，登绿林共主，醉饮达旦，兴之所至，挥笔写就此卷精义。</t>
  </si>
  <si>
    <t>地覆·骄子卷</t>
  </si>
  <si>
    <t>装配此卷的角色气血上限提升10%。</t>
  </si>
  <si>
    <t>地生万物，唯人独得其灵，冥冥际遇，为万物之长。</t>
  </si>
  <si>
    <t>地覆·无垢卷</t>
  </si>
  <si>
    <t>装配此卷的角色受到致死伤害时，免疫此次伤害，并恢复10%气血最大值的气血。</t>
  </si>
  <si>
    <t>诸法空相，不生不灭，不垢不净，不增不减，如地载万物，不动不变也。</t>
  </si>
  <si>
    <t>地覆·触石卷</t>
  </si>
  <si>
    <t>装配此卷的角色外功防御提升10%。</t>
  </si>
  <si>
    <t>听潮观海，踏礁触石，嗟叹暗礁，可中流抵水，万世不腐。</t>
  </si>
  <si>
    <t>地覆·睚眦卷</t>
  </si>
  <si>
    <t>装配此卷的角色反伤提升5%。</t>
  </si>
  <si>
    <t>传自神狩朝堂，大内禁宫李姓之人，所述所载，唯以血抵血，报应相偿。</t>
  </si>
  <si>
    <t>地覆·坤玖卷</t>
  </si>
  <si>
    <t>装配此卷的角色体力上限提升10%。</t>
  </si>
  <si>
    <t>厚土载物，诸子得食，坤之广象，玖数至极。</t>
  </si>
  <si>
    <t>人世·诛邪卷</t>
  </si>
  <si>
    <t>装配此卷的角色善恶值为正时，单手轻刃、扇法武学的暴击率提升5%。</t>
  </si>
  <si>
    <t>sancaishuren</t>
  </si>
  <si>
    <t>钗剑有义，巾帼诛邪，传自神秀峰，曰：唯侠者，可不愧于世。</t>
  </si>
  <si>
    <t>人世·撼岳卷</t>
  </si>
  <si>
    <t>装配此卷的角色善恶值为正时，拳掌、腿脚武学的暴击率提升5%。</t>
  </si>
  <si>
    <t>血气筋骨亦如刃锋，如能久经磨砺，则可崩山撼岳，断马摧甲。</t>
  </si>
  <si>
    <t>人世·孤鸾卷</t>
  </si>
  <si>
    <t>装配此卷的角色善恶值为正时，重刃、长兵武学的暴击率提升5%。</t>
  </si>
  <si>
    <t>孤鸾犯日，红缨撕天，昔年镇国卫所传之学。</t>
  </si>
  <si>
    <t>人世·天照卷</t>
  </si>
  <si>
    <t>装配此卷的角色善恶值为正时，双手轻刃、短兵武学的暴击率提升5%。</t>
  </si>
  <si>
    <t>人世·寒鹊卷</t>
  </si>
  <si>
    <t>装配此卷的角色善恶值为正时，暗器、火器、弓箭武学的暴击率提升5%。</t>
  </si>
  <si>
    <t>鹊尾如刀，其形亦刚亦柔，百损不折。</t>
  </si>
  <si>
    <t>人世·断肠卷</t>
  </si>
  <si>
    <t>装配此卷的角色善恶值为正时，软鞭、绳镖武学的暴击率提升5%。</t>
  </si>
  <si>
    <t>情如柔丝，绞心断肠。此册秘卷乃苗疆五圣教秘传之法，因马踏江湖流入武林。</t>
  </si>
  <si>
    <t>人世·不工卷</t>
  </si>
  <si>
    <t>装配此卷的角色移动速度越低，内功防御获得越高的加成，此加成最高可达30%。</t>
  </si>
  <si>
    <t>大音希声，大象无形，秘卷出自一无名空谷，其源不可考。</t>
  </si>
  <si>
    <t>人世·致学卷</t>
  </si>
  <si>
    <t>装配此卷的角色获得的修为值额外提升10%，仅主角可生效。</t>
  </si>
  <si>
    <t>致于学者，善纳言而敏习，文脉流远，可抵臻化。</t>
  </si>
  <si>
    <t>人世·无迹卷</t>
  </si>
  <si>
    <t>装配此卷的角色提升30点移动速度。</t>
  </si>
  <si>
    <t>据传为曾三入隐月阁的“梁君子”所著，行若孤鸿踏雪，爪痕无迹，自此人为镇国卫所诛，此卷便流落江湖。</t>
  </si>
  <si>
    <t>人世·百草卷</t>
  </si>
  <si>
    <t>装配此卷的角色气血恢复速率提升10%。</t>
  </si>
  <si>
    <t>此卷传自天涯海阁，东壁先生曾亲探药性，仿神农氏尝百草著医，终成此卷。</t>
  </si>
  <si>
    <t>人世·药蛊卷</t>
  </si>
  <si>
    <t>装配此卷的角色体力恢复速率提升10%。</t>
  </si>
  <si>
    <t>传自南疆五圣教，其上所载蛊物缺失难辨，但携于身侧，亦可令筋骨强健，于武学一途大有助益。</t>
  </si>
  <si>
    <t>人世·悬壶卷</t>
  </si>
  <si>
    <t>装配此卷的角色治疗效果提升（10%）。</t>
  </si>
  <si>
    <t>悬壶济世，医者仁心，为天涯海阁东壁先生所著，乃疗伤丹治之无上妙方。</t>
  </si>
  <si>
    <t>人世·匠造卷</t>
  </si>
  <si>
    <t>装配此卷的角色免疫非战斗中【机关】所造成的伤害，并获得全技能调息时间5%的缩减。</t>
  </si>
  <si>
    <t>天工精巧，可衍匠心，此卷传自墨家天工阁，非能工巧匠，不可得其精意。</t>
  </si>
  <si>
    <t>人世·妙手卷</t>
  </si>
  <si>
    <t>装配此卷的角色使用暗器，火器，弓箭类武器时，轻击的体力消耗值降低5点。</t>
  </si>
  <si>
    <t>天地之灵，偶得妙手，虽不籍天地伟力，而君子善假于物也。</t>
  </si>
  <si>
    <t>人世·丹霞卷</t>
  </si>
  <si>
    <t>装配此卷的角色内劲增长速率提升10%。</t>
  </si>
  <si>
    <t>龙虎山前代天师所创，龙虎紫气驭行，真法正宗，成煌煌之势。</t>
  </si>
  <si>
    <t>人世·达摩卷</t>
  </si>
  <si>
    <t>装配此卷的角色施展技能后有10%概率立即刷新调息时间。</t>
  </si>
  <si>
    <t>白衣僧渡，一苇横江，少林既毁，两禅分立，此卷秘藏亦就此流出，不知所踪。</t>
  </si>
  <si>
    <t>人世·情蛊卷</t>
  </si>
  <si>
    <t>装配此卷的角色受到伤害时，有10%概率将此伤害均摊至角色与伤害来源共担，段姓角色无法修习此卷。</t>
  </si>
  <si>
    <t>生当同衾，死亦同穴，缠绵入骨，情恨未了，五圣教前任教主金凰儿所创，后不知何故立誓仇尽天下段姓之人，故段姓角色无法修习此卷。</t>
  </si>
  <si>
    <t>条件类型</t>
  </si>
  <si>
    <t>条件类型参数</t>
  </si>
  <si>
    <t>气血上限</t>
  </si>
  <si>
    <t>外功防御</t>
  </si>
  <si>
    <t>内功防御</t>
  </si>
  <si>
    <t>外功攻击</t>
  </si>
  <si>
    <t>内功攻击</t>
  </si>
  <si>
    <t>暴击</t>
  </si>
  <si>
    <t>免暴</t>
  </si>
  <si>
    <t>暴击伤害</t>
  </si>
  <si>
    <t>暴击减免</t>
  </si>
  <si>
    <t>体力上限</t>
  </si>
  <si>
    <t>体力回复</t>
  </si>
  <si>
    <t>吸血</t>
  </si>
  <si>
    <t>反伤</t>
  </si>
  <si>
    <t>内劲</t>
  </si>
  <si>
    <t>速度</t>
  </si>
  <si>
    <t>武力</t>
  </si>
  <si>
    <t>内息</t>
  </si>
  <si>
    <t>身法</t>
  </si>
  <si>
    <t>筋骨</t>
  </si>
  <si>
    <t>悟性</t>
  </si>
  <si>
    <t>体力消耗</t>
  </si>
  <si>
    <t>修为加成</t>
  </si>
  <si>
    <t>typeNum</t>
  </si>
  <si>
    <t>qxsx</t>
  </si>
  <si>
    <t>wgfy</t>
  </si>
  <si>
    <t>ngfy</t>
  </si>
  <si>
    <t>wg</t>
  </si>
  <si>
    <t>ng</t>
  </si>
  <si>
    <t>bj</t>
  </si>
  <si>
    <t>mb</t>
  </si>
  <si>
    <t>bjsh</t>
  </si>
  <si>
    <t>bjjm</t>
  </si>
  <si>
    <t>tlsx</t>
  </si>
  <si>
    <t>tlhf</t>
  </si>
  <si>
    <t>xx</t>
  </si>
  <si>
    <t>fs</t>
  </si>
  <si>
    <t>nj</t>
  </si>
  <si>
    <t>sd</t>
  </si>
  <si>
    <t>wl</t>
  </si>
  <si>
    <t>nx</t>
  </si>
  <si>
    <t>sf</t>
  </si>
  <si>
    <t>jg</t>
  </si>
  <si>
    <t>wx</t>
  </si>
  <si>
    <t>tlxh</t>
  </si>
  <si>
    <t>xwjc</t>
  </si>
  <si>
    <t>BUFFid</t>
  </si>
  <si>
    <t>密卷槽</t>
  </si>
  <si>
    <t>悟性值消耗</t>
  </si>
  <si>
    <t>天赋要求</t>
  </si>
  <si>
    <t>前置开启条件</t>
  </si>
  <si>
    <t>wxz</t>
  </si>
  <si>
    <t>tfId</t>
  </si>
  <si>
    <t>篇章名称</t>
  </si>
  <si>
    <t>篇章分类</t>
  </si>
  <si>
    <t>篇章奖励描述</t>
  </si>
  <si>
    <t>篇章奖励</t>
  </si>
  <si>
    <t>资源名称</t>
  </si>
  <si>
    <t>rewardTip</t>
  </si>
  <si>
    <t>reward</t>
  </si>
  <si>
    <t>天行健，君子自强不息</t>
  </si>
  <si>
    <t>气血上限提升5%</t>
  </si>
  <si>
    <t>气血,0.05</t>
  </si>
  <si>
    <t>防御力提升5%</t>
  </si>
  <si>
    <t>防御,0.05</t>
  </si>
  <si>
    <t>体力上限提升5%</t>
  </si>
  <si>
    <t>体力上限,0.05</t>
  </si>
  <si>
    <t>免伤提升5% 吸血提升5%</t>
  </si>
  <si>
    <t>免伤,0.05;吸血,0.05</t>
  </si>
  <si>
    <t>攻击力提升5%</t>
  </si>
  <si>
    <t>攻击,0.05</t>
  </si>
  <si>
    <t>内劲增长提升5%</t>
  </si>
  <si>
    <t>内劲增长,0.05</t>
  </si>
  <si>
    <t>暴击提升5%</t>
  </si>
  <si>
    <t>暴击,0.05</t>
  </si>
  <si>
    <t>破防提升5% 真气上限提升5%</t>
  </si>
  <si>
    <t>破防,0.05;真气上限,0.2</t>
  </si>
  <si>
    <t>生存向</t>
  </si>
  <si>
    <t>防御</t>
  </si>
  <si>
    <t>体力</t>
  </si>
  <si>
    <t>攻击向</t>
  </si>
  <si>
    <t>攻击</t>
  </si>
  <si>
    <t>内劲增长</t>
  </si>
  <si>
    <t>单独的属性，不能重复有</t>
  </si>
  <si>
    <t>悟性在同一等级的河图或洛书下的消耗是相等的</t>
  </si>
  <si>
    <t>境界</t>
  </si>
  <si>
    <t>河图</t>
  </si>
  <si>
    <t>洛书</t>
  </si>
  <si>
    <t>单手轻刃</t>
  </si>
  <si>
    <t>单手轻刃</t>
    <phoneticPr fontId="21" type="noConversion"/>
  </si>
  <si>
    <t>拳掌</t>
  </si>
  <si>
    <t>重刃</t>
  </si>
  <si>
    <t>绳镖</t>
  </si>
  <si>
    <t>双手轻刃</t>
  </si>
  <si>
    <t>短兵</t>
  </si>
  <si>
    <t>拳掌</t>
    <phoneticPr fontId="21" type="noConversion"/>
  </si>
  <si>
    <t>腿脚</t>
  </si>
  <si>
    <t>腿脚</t>
    <phoneticPr fontId="21" type="noConversion"/>
  </si>
  <si>
    <t>软鞭</t>
  </si>
  <si>
    <t>弓箭</t>
  </si>
  <si>
    <t>重刃</t>
    <phoneticPr fontId="21" type="noConversion"/>
  </si>
  <si>
    <t>长兵</t>
    <phoneticPr fontId="21" type="noConversion"/>
  </si>
  <si>
    <t>绳镖</t>
    <phoneticPr fontId="21" type="noConversion"/>
  </si>
  <si>
    <t>软鞭</t>
    <phoneticPr fontId="21" type="noConversion"/>
  </si>
  <si>
    <t>暗器</t>
  </si>
  <si>
    <t>暗器</t>
    <phoneticPr fontId="21" type="noConversion"/>
  </si>
  <si>
    <t>火器</t>
  </si>
  <si>
    <t>火器</t>
    <phoneticPr fontId="21" type="noConversion"/>
  </si>
  <si>
    <t>弓箭</t>
    <phoneticPr fontId="21" type="noConversion"/>
  </si>
  <si>
    <t>双手轻刃</t>
    <phoneticPr fontId="21" type="noConversion"/>
  </si>
  <si>
    <t>短兵</t>
    <phoneticPr fontId="21" type="noConversion"/>
  </si>
  <si>
    <t>扇子</t>
  </si>
  <si>
    <t>ruanbian/Idle</t>
    <phoneticPr fontId="21" type="noConversion"/>
  </si>
  <si>
    <t>DefatultState</t>
  </si>
  <si>
    <t>maxDistanceYouZou</t>
  </si>
  <si>
    <t>minDistanceYouZou</t>
  </si>
  <si>
    <t>speed</t>
  </si>
  <si>
    <t>默认状态</t>
  </si>
  <si>
    <t>游走最长距离</t>
  </si>
  <si>
    <t>游走最短距离</t>
  </si>
  <si>
    <t>攻击类型</t>
  </si>
  <si>
    <t>移动速度</t>
  </si>
  <si>
    <t>武器类型</t>
  </si>
  <si>
    <t>装配此卷的角色暴击率提升5%。</t>
    <phoneticPr fontId="21" type="noConversion"/>
  </si>
  <si>
    <t>装配此卷的角色免暴提升10%。</t>
    <phoneticPr fontId="21" type="noConversion"/>
  </si>
  <si>
    <t>装配此卷的角色暴击减免提升10%。</t>
    <phoneticPr fontId="21" type="noConversion"/>
  </si>
  <si>
    <t>装配此卷的角色暴击伤害提升15%，暴击减免降低5%。</t>
    <phoneticPr fontId="21" type="noConversion"/>
  </si>
  <si>
    <t>装配此卷的角色内功防御与外功防御皆提升5%。</t>
    <phoneticPr fontId="21" type="noConversion"/>
  </si>
  <si>
    <t>装配此卷的角色气血恢复属性提升10%。</t>
    <phoneticPr fontId="21" type="noConversion"/>
  </si>
  <si>
    <t>装配此卷的角色内劲增长提升10%。</t>
    <phoneticPr fontId="21" type="noConversion"/>
  </si>
  <si>
    <t>气血回复</t>
    <phoneticPr fontId="21" type="noConversion"/>
  </si>
  <si>
    <t>qxhf</t>
    <phoneticPr fontId="21" type="noConversion"/>
  </si>
  <si>
    <t>装配此卷的角色持单手轻刃、扇法时外功和内功攻击额外提升5%。</t>
    <phoneticPr fontId="21" type="noConversion"/>
  </si>
  <si>
    <t>装配此卷的角色单手轻刃、扇法的相关武学时，将获得暴击率提升5%。</t>
  </si>
  <si>
    <t>装配此卷的角色拳掌、腿脚的相关武学时，将获得暴击率提升5%。</t>
  </si>
  <si>
    <t>装配此卷的角色重刃、长兵的相关武学时，将获得暴击率提升5%。</t>
  </si>
  <si>
    <t>装配此卷的角色双手轻刃、短兵的相关武学时，将获得暴击率提升5%。</t>
  </si>
  <si>
    <t>装配此卷的角色暗器、火器、弓箭的相关武学时，将获得暴击率提升5%。</t>
  </si>
  <si>
    <t>装配此卷的角色软鞭、绳镖的相关武学时，将获得暴击率提升5%。</t>
  </si>
  <si>
    <t>装配此卷的角色施展拳掌、腿脚的相关武学时，将获得额外5%外功和内功攻击的提升。</t>
  </si>
  <si>
    <t>装配此卷的角色施展单手轻刃、扇法的相关武学时，将获得额外5%外功和内功攻击的提升。</t>
  </si>
  <si>
    <t>装配此卷的角色施展重剑、长兵的相关武学时，将获得额外5%外功和内功攻击的提升。</t>
  </si>
  <si>
    <t>装配此卷的角色施展暗器、火器、弓箭的相关武学时，将获得额外5%外功和内功攻击的提升。</t>
  </si>
  <si>
    <t>装配此卷的角色施展双手轻刃、短兵的相关武学时，将获得额外5%外功和内功攻击的提升。</t>
  </si>
  <si>
    <t>装配此卷的角色施展绳镖、软鞭的相关武学时，将获得额外5%外功和内功攻击的提升。</t>
  </si>
  <si>
    <t>天书·晨明篇</t>
    <phoneticPr fontId="21" type="noConversion"/>
  </si>
  <si>
    <t>天书·朏明篇</t>
    <phoneticPr fontId="21" type="noConversion"/>
  </si>
  <si>
    <t>天书·旦明篇</t>
    <phoneticPr fontId="21" type="noConversion"/>
  </si>
  <si>
    <t>天书·蚤食篇</t>
    <phoneticPr fontId="21" type="noConversion"/>
  </si>
  <si>
    <t>天书·宴食篇</t>
    <phoneticPr fontId="21" type="noConversion"/>
  </si>
  <si>
    <t>地书·隅中篇</t>
    <phoneticPr fontId="21" type="noConversion"/>
  </si>
  <si>
    <t>地书·正中篇</t>
    <phoneticPr fontId="21" type="noConversion"/>
  </si>
  <si>
    <t>地书·小还篇</t>
    <phoneticPr fontId="21" type="noConversion"/>
  </si>
  <si>
    <t>地书·哺时篇</t>
    <phoneticPr fontId="21" type="noConversion"/>
  </si>
  <si>
    <t>地书·大还篇</t>
    <phoneticPr fontId="21" type="noConversion"/>
  </si>
  <si>
    <t>人书·高舂篇</t>
    <phoneticPr fontId="21" type="noConversion"/>
  </si>
  <si>
    <t>人书·下舂篇</t>
    <phoneticPr fontId="21" type="noConversion"/>
  </si>
  <si>
    <t>人书·县车篇</t>
    <phoneticPr fontId="21" type="noConversion"/>
  </si>
  <si>
    <t>人书·黄昏篇</t>
    <phoneticPr fontId="21" type="noConversion"/>
  </si>
  <si>
    <t>人书·定昏篇</t>
    <phoneticPr fontId="21" type="noConversion"/>
  </si>
  <si>
    <t>装配此卷的角色外功攻击提升5%，外功防御降低5%。</t>
    <phoneticPr fontId="21" type="noConversion"/>
  </si>
  <si>
    <t>装配此卷的角色内功攻击提升5%，内功防御降低5%。</t>
    <phoneticPr fontId="21" type="noConversion"/>
  </si>
  <si>
    <t>天衍·建御卷</t>
    <phoneticPr fontId="21" type="noConversion"/>
  </si>
  <si>
    <t>天衍·泄玉卷</t>
    <phoneticPr fontId="21" type="noConversion"/>
  </si>
  <si>
    <t>人世·寒鹊卷</t>
    <phoneticPr fontId="21" type="noConversion"/>
  </si>
  <si>
    <t>装配此卷的角色暴击率提升5%，暴击伤害提升10%</t>
  </si>
  <si>
    <t xml:space="preserve">天衍·晦朔卷 </t>
  </si>
  <si>
    <t>装配此卷的角色进入战斗后，防御力提升20%，造成的伤害降低10%</t>
    <phoneticPr fontId="21" type="noConversion"/>
  </si>
  <si>
    <t>生当同衾，死亦同穴，缠绵入骨，情恨未了，五圣教前任教主金凰儿所创。</t>
    <phoneticPr fontId="21" type="noConversion"/>
  </si>
  <si>
    <t>装配此卷的角色进入战斗后，治疗成效提升10%，此效果在治疗队友时也会生效</t>
    <phoneticPr fontId="21" type="noConversion"/>
  </si>
  <si>
    <t>装配此卷的角色进入战斗后，移动速度降低80点，造成伤害提升5%</t>
    <phoneticPr fontId="21" type="noConversion"/>
  </si>
  <si>
    <t>装配此卷的角色免暴提升10%，暴击减免提升10%</t>
  </si>
  <si>
    <t>装配此卷的角色反伤提升10%，移动速度降低50</t>
    <phoneticPr fontId="21" type="noConversion"/>
  </si>
  <si>
    <t>装配此卷的角色，使用暗器时提升自身暴击率10%</t>
    <phoneticPr fontId="21" type="noConversion"/>
  </si>
  <si>
    <t>装配此卷的角色吸血提升5%，气血上限降低5%</t>
    <phoneticPr fontId="21" type="noConversion"/>
  </si>
  <si>
    <t>装配此卷的角色获得的修为值额外提升10%，仅主角可生效。</t>
    <phoneticPr fontId="21" type="noConversion"/>
  </si>
  <si>
    <t>装配此卷的角色获得的修为值额外提升10%，攻击力降低5%</t>
    <phoneticPr fontId="21" type="noConversion"/>
  </si>
  <si>
    <t>装配此卷的角色攻击力提升3%，气血上限降低10%</t>
    <phoneticPr fontId="21" type="noConversion"/>
  </si>
  <si>
    <t>装配此卷的角色气血恢复额外提升10%</t>
  </si>
  <si>
    <t>装配此卷的角色体力恢复额外提升20%</t>
    <phoneticPr fontId="21" type="noConversion"/>
  </si>
  <si>
    <t>装配此卷的角色体力恢复提升20%。</t>
    <phoneticPr fontId="21" type="noConversion"/>
  </si>
  <si>
    <t>装配此卷的角色外功防御提升15%，外功攻击降低10%</t>
    <phoneticPr fontId="21" type="noConversion"/>
  </si>
  <si>
    <t>装配此卷的角色内功防御提升15%，内功攻击降低10%</t>
    <phoneticPr fontId="21" type="noConversion"/>
  </si>
  <si>
    <t>装配此卷的角色气血上限增加5%，气血恢复降低5%</t>
    <phoneticPr fontId="21" type="noConversion"/>
  </si>
  <si>
    <t>装配此卷的角色移动速度提升30，体力上限降低20%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</si>
</sst>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6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  <scheme val="minor"/>
    </font>
    <font>
      <sz val="7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.5"/>
      <color theme="0"/>
      <name val="宋体"/>
      <family val="3"/>
      <charset val="134"/>
    </font>
    <font>
      <sz val="10.5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宋体"/>
      <family val="3"/>
      <charset val="134"/>
      <scheme val="minor"/>
    </font>
    <font>
      <sz val="11"/>
      <color rgb="FF92D050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7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0"/>
      <name val="宋体"/>
      <family val="3"/>
      <charset val="134"/>
    </font>
    <font>
      <sz val="11"/>
      <color theme="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/>
    </xf>
    <xf numFmtId="0" fontId="1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justify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horizontal="justify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0" fillId="0" borderId="0" xfId="0" applyAlignment="1">
      <alignment horizontal="justify" wrapText="1"/>
    </xf>
    <xf numFmtId="0" fontId="0" fillId="0" borderId="1" xfId="0" applyBorder="1" applyAlignment="1">
      <alignment horizontal="justify"/>
    </xf>
    <xf numFmtId="0" fontId="8" fillId="0" borderId="0" xfId="0" applyFont="1" applyAlignment="1">
      <alignment horizontal="justify" vertical="center"/>
    </xf>
    <xf numFmtId="0" fontId="0" fillId="8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49" fontId="9" fillId="9" borderId="2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0" fillId="10" borderId="0" xfId="0" applyFill="1"/>
    <xf numFmtId="176" fontId="0" fillId="0" borderId="0" xfId="0" applyNumberFormat="1"/>
    <xf numFmtId="176" fontId="4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4" fillId="10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distributed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4" fillId="10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2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8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2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0" xfId="0" applyFill="1"/>
    <xf numFmtId="0" fontId="24" fillId="6" borderId="1" xfId="0" applyFont="1" applyFill="1" applyBorder="1" applyAlignment="1">
      <alignment vertical="center"/>
    </xf>
    <xf numFmtId="0" fontId="25" fillId="6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vertical="center"/>
    </xf>
    <xf numFmtId="0" fontId="2" fillId="11" borderId="1" xfId="0" applyFont="1" applyFill="1" applyBorder="1" applyAlignment="1">
      <alignment vertical="center"/>
    </xf>
    <xf numFmtId="0" fontId="0" fillId="11" borderId="0" xfId="0" applyFill="1"/>
    <xf numFmtId="0" fontId="2" fillId="11" borderId="1" xfId="0" applyFont="1" applyFill="1" applyBorder="1" applyAlignment="1">
      <alignment horizontal="justify" vertical="center"/>
    </xf>
    <xf numFmtId="0" fontId="0" fillId="12" borderId="1" xfId="0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0" fillId="12" borderId="0" xfId="0" applyFill="1" applyAlignment="1">
      <alignment vertical="center"/>
    </xf>
    <xf numFmtId="0" fontId="3" fillId="1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/>
    <xf numFmtId="0" fontId="0" fillId="0" borderId="0" xfId="0" applyAlignment="1"/>
    <xf numFmtId="0" fontId="5" fillId="8" borderId="1" xfId="0" applyFont="1" applyFill="1" applyBorder="1"/>
    <xf numFmtId="0" fontId="5" fillId="8" borderId="1" xfId="0" applyFont="1" applyFill="1" applyBorder="1" applyAlignment="1">
      <alignment vertical="center"/>
    </xf>
    <xf numFmtId="0" fontId="0" fillId="8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8" borderId="1" xfId="0" applyFont="1" applyFill="1" applyBorder="1" applyAlignment="1"/>
    <xf numFmtId="0" fontId="0" fillId="8" borderId="1" xfId="0" applyFill="1" applyBorder="1" applyAlignment="1">
      <alignment vertical="center"/>
    </xf>
    <xf numFmtId="0" fontId="5" fillId="0" borderId="3" xfId="0" applyFont="1" applyBorder="1" applyAlignment="1"/>
    <xf numFmtId="0" fontId="0" fillId="0" borderId="3" xfId="0" applyBorder="1" applyAlignment="1">
      <alignment vertical="center"/>
    </xf>
    <xf numFmtId="0" fontId="0" fillId="0" borderId="1" xfId="0" applyBorder="1" applyAlignment="1"/>
    <xf numFmtId="0" fontId="0" fillId="8" borderId="1" xfId="0" applyFill="1" applyBorder="1" applyAlignment="1"/>
  </cellXfs>
  <cellStyles count="1">
    <cellStyle name="常规" xfId="0" builtinId="0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2024_2_24V1_JSZ/G2024_7_23EAV1/daojianjianghulu_Data/Res/ExcelData/SkillBatt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招式配置"/>
      <sheetName val="Sheet6"/>
      <sheetName val="Sheet5"/>
      <sheetName val="Sheet4"/>
      <sheetName val="飞行道具配置"/>
      <sheetName val="心诀配置"/>
      <sheetName val="武学境界对应招式表"/>
      <sheetName val="Sheet1"/>
      <sheetName val="轻击对应招式表"/>
      <sheetName val="重击对应招式表"/>
      <sheetName val="散学对应招式表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武学类型</v>
          </cell>
          <cell r="D1" t="str">
            <v>所属门派</v>
          </cell>
          <cell r="E1" t="str">
            <v>所属内外攻</v>
          </cell>
          <cell r="F1" t="str">
            <v>默认状态</v>
          </cell>
        </row>
        <row r="2">
          <cell r="C2" t="str">
            <v>tipType</v>
          </cell>
          <cell r="D2" t="str">
            <v>tipSect</v>
          </cell>
          <cell r="E2" t="str">
            <v>attackType</v>
          </cell>
          <cell r="F2" t="str">
            <v>DefatultState</v>
          </cell>
        </row>
        <row r="3">
          <cell r="C3" t="str">
            <v>拳掌</v>
          </cell>
          <cell r="D3" t="str">
            <v>江湖武学</v>
          </cell>
          <cell r="E3">
            <v>1</v>
          </cell>
          <cell r="F3" t="str">
            <v>quan/Idle3</v>
          </cell>
        </row>
        <row r="4">
          <cell r="C4" t="str">
            <v>拳掌</v>
          </cell>
          <cell r="D4" t="str">
            <v>江湖武学</v>
          </cell>
          <cell r="E4">
            <v>1</v>
          </cell>
          <cell r="F4" t="str">
            <v>quan/Idle3</v>
          </cell>
        </row>
        <row r="5">
          <cell r="C5" t="str">
            <v>拳掌</v>
          </cell>
          <cell r="D5" t="str">
            <v>江湖武学</v>
          </cell>
          <cell r="E5">
            <v>1</v>
          </cell>
          <cell r="F5" t="str">
            <v>quan/Idle3</v>
          </cell>
        </row>
        <row r="6">
          <cell r="C6" t="str">
            <v>拳掌</v>
          </cell>
          <cell r="D6" t="str">
            <v>太和</v>
          </cell>
          <cell r="E6">
            <v>2</v>
          </cell>
          <cell r="F6" t="str">
            <v>quan/Idle3</v>
          </cell>
        </row>
        <row r="7">
          <cell r="C7" t="str">
            <v>单手轻刃</v>
          </cell>
          <cell r="D7" t="str">
            <v>江湖武学</v>
          </cell>
          <cell r="E7">
            <v>1</v>
          </cell>
          <cell r="F7" t="str">
            <v>jian/Idle</v>
          </cell>
        </row>
        <row r="8">
          <cell r="C8" t="str">
            <v>单手轻刃</v>
          </cell>
          <cell r="D8" t="str">
            <v>江湖武学</v>
          </cell>
          <cell r="E8">
            <v>1</v>
          </cell>
          <cell r="F8" t="str">
            <v>jian/Idle</v>
          </cell>
        </row>
        <row r="9">
          <cell r="C9" t="str">
            <v>单手轻刃</v>
          </cell>
          <cell r="D9" t="str">
            <v>江湖武学</v>
          </cell>
          <cell r="E9">
            <v>1</v>
          </cell>
          <cell r="F9" t="str">
            <v>jian/Idle2</v>
          </cell>
        </row>
        <row r="10">
          <cell r="C10" t="str">
            <v>单手轻刃</v>
          </cell>
          <cell r="D10" t="str">
            <v>天涯海阁</v>
          </cell>
          <cell r="E10">
            <v>1</v>
          </cell>
          <cell r="F10" t="str">
            <v>jian/Idle3</v>
          </cell>
        </row>
        <row r="11">
          <cell r="C11" t="str">
            <v>单手轻刃</v>
          </cell>
          <cell r="D11" t="str">
            <v>太和</v>
          </cell>
          <cell r="E11">
            <v>2</v>
          </cell>
          <cell r="F11" t="str">
            <v>jian/Idle</v>
          </cell>
        </row>
        <row r="12">
          <cell r="C12" t="str">
            <v>单手轻刃</v>
          </cell>
          <cell r="D12" t="str">
            <v>江湖武学</v>
          </cell>
          <cell r="E12">
            <v>1</v>
          </cell>
          <cell r="F12" t="str">
            <v>jian/Idle</v>
          </cell>
        </row>
        <row r="13">
          <cell r="C13" t="str">
            <v>重刃</v>
          </cell>
          <cell r="D13" t="str">
            <v>江湖武学</v>
          </cell>
          <cell r="E13">
            <v>1</v>
          </cell>
          <cell r="F13" t="str">
            <v>zhongren/Idle</v>
          </cell>
        </row>
        <row r="14">
          <cell r="C14" t="str">
            <v>重刃</v>
          </cell>
          <cell r="D14" t="str">
            <v>江湖武学</v>
          </cell>
          <cell r="E14">
            <v>1</v>
          </cell>
          <cell r="F14" t="str">
            <v>zhongren/Idle</v>
          </cell>
        </row>
        <row r="15">
          <cell r="C15" t="str">
            <v>长兵</v>
          </cell>
          <cell r="D15" t="str">
            <v>江湖武学</v>
          </cell>
          <cell r="E15">
            <v>1</v>
          </cell>
          <cell r="F15" t="str">
            <v>qiangfa/Idle</v>
          </cell>
        </row>
        <row r="16">
          <cell r="C16" t="str">
            <v>长兵</v>
          </cell>
          <cell r="D16" t="str">
            <v>江湖武学</v>
          </cell>
          <cell r="E16">
            <v>1</v>
          </cell>
          <cell r="F16" t="str">
            <v>qiangfa/Idle</v>
          </cell>
        </row>
        <row r="17">
          <cell r="C17" t="str">
            <v>长兵</v>
          </cell>
          <cell r="D17" t="str">
            <v>江湖武学</v>
          </cell>
          <cell r="E17">
            <v>1</v>
          </cell>
          <cell r="F17" t="str">
            <v>qiangfa/Idle</v>
          </cell>
        </row>
        <row r="18">
          <cell r="C18" t="str">
            <v>长兵</v>
          </cell>
          <cell r="D18" t="str">
            <v>江湖武学</v>
          </cell>
          <cell r="E18">
            <v>1</v>
          </cell>
          <cell r="F18" t="str">
            <v>qiangfa/Idle</v>
          </cell>
        </row>
        <row r="19">
          <cell r="C19" t="str">
            <v>扇子</v>
          </cell>
          <cell r="D19" t="str">
            <v>江湖武学</v>
          </cell>
          <cell r="E19">
            <v>2</v>
          </cell>
          <cell r="F19" t="str">
            <v>shanzi/Idle</v>
          </cell>
        </row>
        <row r="20">
          <cell r="C20" t="str">
            <v>扇子</v>
          </cell>
          <cell r="D20" t="str">
            <v>天涯海阁</v>
          </cell>
          <cell r="E20">
            <v>2</v>
          </cell>
          <cell r="F20" t="str">
            <v>shanzi/Idle</v>
          </cell>
        </row>
        <row r="21">
          <cell r="C21" t="str">
            <v>暗器</v>
          </cell>
          <cell r="D21" t="str">
            <v>江湖武学</v>
          </cell>
          <cell r="E21">
            <v>2</v>
          </cell>
          <cell r="F21" t="str">
            <v>anqi/Idle</v>
          </cell>
        </row>
        <row r="22">
          <cell r="C22" t="str">
            <v>暗器</v>
          </cell>
          <cell r="D22" t="str">
            <v>江湖武学</v>
          </cell>
          <cell r="E22">
            <v>2</v>
          </cell>
          <cell r="F22" t="str">
            <v>anqi/Idle</v>
          </cell>
        </row>
        <row r="23">
          <cell r="C23" t="str">
            <v>腿脚</v>
          </cell>
          <cell r="D23" t="str">
            <v>江湖武学</v>
          </cell>
          <cell r="E23">
            <v>1</v>
          </cell>
          <cell r="F23" t="str">
            <v>tui/Idle</v>
          </cell>
        </row>
        <row r="24">
          <cell r="C24" t="str">
            <v>腿脚</v>
          </cell>
          <cell r="D24" t="str">
            <v>江湖武学</v>
          </cell>
          <cell r="E24">
            <v>1</v>
          </cell>
          <cell r="F24" t="str">
            <v>tui/Idle</v>
          </cell>
        </row>
        <row r="25">
          <cell r="C25" t="str">
            <v>双手轻刃</v>
          </cell>
          <cell r="D25" t="str">
            <v>江湖武学</v>
          </cell>
          <cell r="E25">
            <v>1</v>
          </cell>
          <cell r="F25" t="str">
            <v>shuangshouqingren/Idle</v>
          </cell>
        </row>
        <row r="26">
          <cell r="C26" t="str">
            <v>双手轻刃</v>
          </cell>
          <cell r="D26" t="str">
            <v>江湖武学</v>
          </cell>
          <cell r="E26">
            <v>1</v>
          </cell>
          <cell r="F26" t="str">
            <v>shuangshouqingren/Idle</v>
          </cell>
        </row>
        <row r="27">
          <cell r="C27" t="str">
            <v>绳镖</v>
          </cell>
          <cell r="D27" t="str">
            <v>江湖武学</v>
          </cell>
          <cell r="E27">
            <v>1</v>
          </cell>
          <cell r="F27" t="str">
            <v>shengbiao/Idle</v>
          </cell>
        </row>
        <row r="28">
          <cell r="C28" t="str">
            <v>绳镖</v>
          </cell>
          <cell r="D28" t="str">
            <v>江湖武学</v>
          </cell>
          <cell r="E28">
            <v>1</v>
          </cell>
          <cell r="F28" t="str">
            <v>shengbiao/Idle</v>
          </cell>
        </row>
        <row r="29">
          <cell r="C29" t="str">
            <v>短兵</v>
          </cell>
          <cell r="D29" t="str">
            <v>江湖武学</v>
          </cell>
          <cell r="E29">
            <v>2</v>
          </cell>
          <cell r="F29" t="str">
            <v>duanbing/Idle</v>
          </cell>
        </row>
        <row r="30">
          <cell r="C30" t="str">
            <v>短兵</v>
          </cell>
          <cell r="D30" t="str">
            <v>五圣教</v>
          </cell>
          <cell r="E30">
            <v>2</v>
          </cell>
          <cell r="F30" t="str">
            <v>duanbing/Idle</v>
          </cell>
        </row>
        <row r="31">
          <cell r="C31" t="str">
            <v>火器</v>
          </cell>
          <cell r="D31" t="str">
            <v>江湖武学</v>
          </cell>
          <cell r="E31">
            <v>1</v>
          </cell>
          <cell r="F31" t="str">
            <v>huoqiang/Idle</v>
          </cell>
        </row>
        <row r="32">
          <cell r="C32" t="str">
            <v>火器</v>
          </cell>
          <cell r="D32" t="str">
            <v>江湖武学</v>
          </cell>
          <cell r="E32">
            <v>1</v>
          </cell>
          <cell r="F32" t="str">
            <v>huoqiang/Idle</v>
          </cell>
        </row>
        <row r="33">
          <cell r="C33" t="str">
            <v>弓箭</v>
          </cell>
          <cell r="D33" t="str">
            <v>江湖武学</v>
          </cell>
          <cell r="E33">
            <v>1</v>
          </cell>
          <cell r="F33" t="str">
            <v>gongjian/Idle</v>
          </cell>
        </row>
        <row r="34">
          <cell r="C34" t="str">
            <v>弓箭</v>
          </cell>
          <cell r="D34" t="str">
            <v>江湖武学</v>
          </cell>
          <cell r="E34">
            <v>1</v>
          </cell>
          <cell r="F34" t="str">
            <v>gongjian/Idle</v>
          </cell>
        </row>
        <row r="35">
          <cell r="C35" t="str">
            <v>内功</v>
          </cell>
          <cell r="D35" t="str">
            <v>天涯海阁</v>
          </cell>
          <cell r="E35"/>
          <cell r="F35"/>
        </row>
        <row r="36">
          <cell r="C36" t="str">
            <v>内功</v>
          </cell>
          <cell r="D36" t="str">
            <v>江湖武学</v>
          </cell>
          <cell r="E36"/>
          <cell r="F36"/>
        </row>
        <row r="37">
          <cell r="C37" t="str">
            <v>内功</v>
          </cell>
          <cell r="D37" t="str">
            <v>江湖武学</v>
          </cell>
          <cell r="E37"/>
          <cell r="F37"/>
        </row>
        <row r="38">
          <cell r="C38" t="str">
            <v>内功</v>
          </cell>
          <cell r="D38" t="str">
            <v>五圣教</v>
          </cell>
          <cell r="E38"/>
          <cell r="F38"/>
        </row>
        <row r="39">
          <cell r="C39" t="str">
            <v>内功</v>
          </cell>
          <cell r="D39" t="str">
            <v>江湖武学</v>
          </cell>
          <cell r="E39"/>
          <cell r="F39"/>
        </row>
        <row r="40">
          <cell r="C40" t="str">
            <v>内功</v>
          </cell>
          <cell r="D40" t="str">
            <v>江湖武学</v>
          </cell>
          <cell r="E40"/>
          <cell r="F40"/>
        </row>
        <row r="41">
          <cell r="C41" t="str">
            <v>内功</v>
          </cell>
          <cell r="D41" t="str">
            <v>太和</v>
          </cell>
          <cell r="E41"/>
          <cell r="F41"/>
        </row>
        <row r="42">
          <cell r="C42" t="str">
            <v>内功</v>
          </cell>
          <cell r="D42" t="str">
            <v>江湖武学</v>
          </cell>
          <cell r="E42"/>
          <cell r="F42"/>
        </row>
        <row r="43">
          <cell r="C43" t="str">
            <v>内功</v>
          </cell>
          <cell r="D43" t="str">
            <v>江湖武学</v>
          </cell>
          <cell r="E43"/>
          <cell r="F43"/>
        </row>
        <row r="44">
          <cell r="C44" t="str">
            <v>内功</v>
          </cell>
          <cell r="D44" t="str">
            <v>江湖武学</v>
          </cell>
          <cell r="E44"/>
          <cell r="F44"/>
        </row>
        <row r="45">
          <cell r="C45" t="str">
            <v>内功</v>
          </cell>
          <cell r="D45" t="str">
            <v>江湖武学</v>
          </cell>
          <cell r="E45"/>
          <cell r="F45"/>
        </row>
        <row r="46">
          <cell r="C46" t="str">
            <v>内功</v>
          </cell>
          <cell r="D46" t="str">
            <v>江湖武学</v>
          </cell>
          <cell r="E46"/>
          <cell r="F46"/>
        </row>
        <row r="47">
          <cell r="C47" t="str">
            <v>内功</v>
          </cell>
          <cell r="D47" t="str">
            <v>江湖武学</v>
          </cell>
          <cell r="E47"/>
          <cell r="F47"/>
        </row>
        <row r="48">
          <cell r="C48" t="str">
            <v>内功</v>
          </cell>
          <cell r="D48" t="str">
            <v>太和</v>
          </cell>
          <cell r="E48"/>
          <cell r="F48"/>
        </row>
        <row r="49">
          <cell r="C49" t="str">
            <v>内功</v>
          </cell>
          <cell r="D49" t="str">
            <v>江湖武学</v>
          </cell>
          <cell r="E49"/>
          <cell r="F49"/>
        </row>
        <row r="50">
          <cell r="C50" t="str">
            <v>内功</v>
          </cell>
          <cell r="D50" t="str">
            <v>江湖武学</v>
          </cell>
          <cell r="E50"/>
          <cell r="F50"/>
        </row>
        <row r="51">
          <cell r="C51" t="str">
            <v>内功</v>
          </cell>
          <cell r="D51" t="str">
            <v>五圣教</v>
          </cell>
          <cell r="E51"/>
          <cell r="F51"/>
        </row>
        <row r="52">
          <cell r="C52" t="str">
            <v>轻功</v>
          </cell>
          <cell r="D52" t="str">
            <v>天涯海阁</v>
          </cell>
          <cell r="E52"/>
          <cell r="F52"/>
        </row>
        <row r="53">
          <cell r="C53" t="str">
            <v>轻功</v>
          </cell>
          <cell r="D53" t="str">
            <v>江湖武学</v>
          </cell>
          <cell r="E53"/>
          <cell r="F53"/>
        </row>
        <row r="54">
          <cell r="C54" t="str">
            <v>轻功</v>
          </cell>
          <cell r="D54" t="str">
            <v>江湖武学</v>
          </cell>
          <cell r="E54"/>
          <cell r="F54"/>
        </row>
        <row r="55">
          <cell r="C55" t="str">
            <v>轻功</v>
          </cell>
          <cell r="D55" t="str">
            <v>江湖武学</v>
          </cell>
          <cell r="E55"/>
          <cell r="F55"/>
        </row>
        <row r="56">
          <cell r="C56" t="str">
            <v>轻功</v>
          </cell>
          <cell r="D56" t="str">
            <v>江湖武学</v>
          </cell>
          <cell r="E56"/>
          <cell r="F56"/>
        </row>
        <row r="57">
          <cell r="C57" t="str">
            <v>轻功</v>
          </cell>
          <cell r="D57" t="str">
            <v>江湖武学</v>
          </cell>
          <cell r="E57"/>
          <cell r="F57"/>
        </row>
        <row r="58">
          <cell r="C58" t="str">
            <v>轻功</v>
          </cell>
          <cell r="D58" t="str">
            <v>太和</v>
          </cell>
          <cell r="E58"/>
          <cell r="F58"/>
        </row>
        <row r="59">
          <cell r="C59" t="str">
            <v>轻功</v>
          </cell>
          <cell r="D59" t="str">
            <v>江湖武学</v>
          </cell>
          <cell r="E59"/>
          <cell r="F59"/>
        </row>
        <row r="60">
          <cell r="C60" t="str">
            <v>轻功</v>
          </cell>
          <cell r="D60" t="str">
            <v>江湖武学</v>
          </cell>
          <cell r="E60"/>
          <cell r="F60"/>
        </row>
        <row r="61">
          <cell r="C61" t="str">
            <v>轻功</v>
          </cell>
          <cell r="D61" t="str">
            <v>江湖武学</v>
          </cell>
          <cell r="E61"/>
          <cell r="F61"/>
        </row>
        <row r="62">
          <cell r="C62" t="str">
            <v>轻功</v>
          </cell>
          <cell r="D62" t="str">
            <v>江湖武学</v>
          </cell>
          <cell r="E62"/>
          <cell r="F62"/>
        </row>
        <row r="63">
          <cell r="C63" t="str">
            <v>轻功</v>
          </cell>
          <cell r="D63" t="str">
            <v>五圣教</v>
          </cell>
          <cell r="E63"/>
          <cell r="F63"/>
        </row>
        <row r="64">
          <cell r="C64" t="str">
            <v>轻功</v>
          </cell>
          <cell r="D64" t="str">
            <v>江湖武学</v>
          </cell>
          <cell r="E64"/>
          <cell r="F64"/>
        </row>
        <row r="65">
          <cell r="C65" t="str">
            <v>轻功</v>
          </cell>
          <cell r="D65" t="str">
            <v>江湖武学</v>
          </cell>
          <cell r="E65"/>
          <cell r="F65"/>
        </row>
        <row r="66">
          <cell r="C66" t="str">
            <v>拳掌</v>
          </cell>
          <cell r="D66" t="str">
            <v>江湖武学</v>
          </cell>
          <cell r="E66"/>
          <cell r="F66" t="str">
            <v>lang/Idle</v>
          </cell>
        </row>
        <row r="67">
          <cell r="C67" t="str">
            <v>拳掌</v>
          </cell>
          <cell r="D67" t="str">
            <v>江湖武学</v>
          </cell>
          <cell r="E67"/>
          <cell r="F67" t="str">
            <v>she/Idle</v>
          </cell>
        </row>
        <row r="68">
          <cell r="C68" t="str">
            <v>内功</v>
          </cell>
          <cell r="D68" t="str">
            <v>江湖武学</v>
          </cell>
          <cell r="E68"/>
          <cell r="F68"/>
        </row>
        <row r="69">
          <cell r="C69" t="str">
            <v>轻功</v>
          </cell>
          <cell r="D69" t="str">
            <v>江湖武学</v>
          </cell>
          <cell r="E69"/>
          <cell r="F69"/>
        </row>
        <row r="70">
          <cell r="C70" t="str">
            <v>拳掌</v>
          </cell>
          <cell r="D70" t="str">
            <v>江湖武学</v>
          </cell>
          <cell r="E70"/>
          <cell r="F70" t="str">
            <v>guren/Idle</v>
          </cell>
        </row>
        <row r="71">
          <cell r="C71" t="str">
            <v>拳掌</v>
          </cell>
          <cell r="D71" t="str">
            <v>江湖武学</v>
          </cell>
          <cell r="E71"/>
          <cell r="F71" t="str">
            <v>xiong/Idle</v>
          </cell>
        </row>
        <row r="72">
          <cell r="C72" t="str">
            <v>纵跃</v>
          </cell>
          <cell r="D72" t="str">
            <v>江湖武学</v>
          </cell>
          <cell r="E72"/>
          <cell r="F72"/>
        </row>
        <row r="73">
          <cell r="C73" t="str">
            <v>长兵</v>
          </cell>
          <cell r="D73" t="str">
            <v>江湖武学</v>
          </cell>
          <cell r="E73"/>
          <cell r="F73"/>
        </row>
        <row r="74">
          <cell r="C74" t="str">
            <v>绳镖</v>
          </cell>
          <cell r="D74" t="str">
            <v>江湖武学</v>
          </cell>
          <cell r="E74"/>
          <cell r="F74" t="str">
            <v>shengbiao/Idle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zoomScale="85" zoomScaleNormal="85" workbookViewId="0">
      <selection activeCell="H6" sqref="H6"/>
    </sheetView>
  </sheetViews>
  <sheetFormatPr defaultColWidth="8.88671875" defaultRowHeight="14.4" x14ac:dyDescent="0.25"/>
  <cols>
    <col min="1" max="1" width="9" style="11" customWidth="1"/>
    <col min="2" max="2" width="18.77734375" style="11" customWidth="1"/>
    <col min="3" max="3" width="10.88671875" style="11" customWidth="1"/>
    <col min="4" max="4" width="10" style="11" customWidth="1"/>
    <col min="5" max="5" width="12.33203125" customWidth="1"/>
    <col min="6" max="6" width="13.77734375" style="11" customWidth="1"/>
    <col min="7" max="7" width="12.44140625" style="11" customWidth="1"/>
    <col min="8" max="8" width="68.109375" style="55" customWidth="1"/>
    <col min="9" max="9" width="51.6640625" style="11" customWidth="1"/>
    <col min="10" max="10" width="10.6640625" style="11" customWidth="1"/>
    <col min="11" max="11" width="14.44140625" style="11" customWidth="1"/>
    <col min="12" max="12" width="56.77734375" style="11" customWidth="1"/>
    <col min="13" max="13" width="19.88671875" style="11" customWidth="1"/>
    <col min="14" max="16384" width="8.88671875" style="11"/>
  </cols>
  <sheetData>
    <row r="1" spans="1:13" s="54" customFormat="1" x14ac:dyDescent="0.25">
      <c r="A1" s="54" t="s">
        <v>0</v>
      </c>
      <c r="B1" s="54" t="s">
        <v>1</v>
      </c>
      <c r="C1" s="54" t="s">
        <v>2</v>
      </c>
      <c r="D1" s="54" t="s">
        <v>3</v>
      </c>
      <c r="E1" s="20" t="s">
        <v>4</v>
      </c>
      <c r="F1" s="54" t="s">
        <v>5</v>
      </c>
      <c r="G1" s="54" t="s">
        <v>6</v>
      </c>
      <c r="H1" s="56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</row>
    <row r="2" spans="1:13" s="54" customFormat="1" x14ac:dyDescent="0.25">
      <c r="A2" s="54" t="s">
        <v>13</v>
      </c>
      <c r="B2" s="54" t="s">
        <v>14</v>
      </c>
      <c r="C2" s="54" t="s">
        <v>15</v>
      </c>
      <c r="D2" s="54" t="s">
        <v>16</v>
      </c>
      <c r="E2" s="20" t="s">
        <v>17</v>
      </c>
      <c r="F2" s="54" t="s">
        <v>18</v>
      </c>
      <c r="G2" s="54" t="s">
        <v>19</v>
      </c>
      <c r="H2" s="56" t="s">
        <v>20</v>
      </c>
      <c r="I2" s="54" t="s">
        <v>21</v>
      </c>
      <c r="J2" s="54" t="s">
        <v>22</v>
      </c>
      <c r="K2" s="54" t="s">
        <v>23</v>
      </c>
      <c r="L2" s="65" t="s">
        <v>24</v>
      </c>
      <c r="M2" s="66" t="s">
        <v>12</v>
      </c>
    </row>
    <row r="3" spans="1:13" ht="28.8" x14ac:dyDescent="0.25">
      <c r="A3" s="11">
        <v>101001</v>
      </c>
      <c r="B3" s="11" t="s">
        <v>25</v>
      </c>
      <c r="C3" s="11" t="s">
        <v>26</v>
      </c>
      <c r="D3" s="11" t="s">
        <v>27</v>
      </c>
      <c r="E3" t="s">
        <v>28</v>
      </c>
      <c r="F3" s="11">
        <v>1</v>
      </c>
      <c r="G3" s="11" t="s">
        <v>29</v>
      </c>
      <c r="H3" s="57" t="s">
        <v>30</v>
      </c>
      <c r="I3" s="11" t="s">
        <v>31</v>
      </c>
      <c r="J3" s="11">
        <v>10</v>
      </c>
      <c r="K3" s="11" t="s">
        <v>32</v>
      </c>
      <c r="L3" s="11" t="s">
        <v>33</v>
      </c>
      <c r="M3" s="11" t="s">
        <v>34</v>
      </c>
    </row>
    <row r="4" spans="1:13" x14ac:dyDescent="0.25">
      <c r="A4" s="11">
        <v>101002</v>
      </c>
      <c r="B4" s="11" t="s">
        <v>35</v>
      </c>
      <c r="C4" s="11" t="s">
        <v>26</v>
      </c>
      <c r="D4" s="11" t="s">
        <v>27</v>
      </c>
      <c r="E4" s="11" t="s">
        <v>36</v>
      </c>
      <c r="F4" s="11" t="s">
        <v>37</v>
      </c>
      <c r="G4" s="11" t="s">
        <v>38</v>
      </c>
      <c r="H4" s="55" t="s">
        <v>39</v>
      </c>
      <c r="I4" s="11" t="s">
        <v>40</v>
      </c>
      <c r="J4" s="11">
        <v>10</v>
      </c>
      <c r="K4" s="11" t="s">
        <v>32</v>
      </c>
      <c r="L4" s="11" t="s">
        <v>41</v>
      </c>
      <c r="M4" s="11" t="s">
        <v>42</v>
      </c>
    </row>
    <row r="5" spans="1:13" x14ac:dyDescent="0.25">
      <c r="A5" s="11">
        <v>102001</v>
      </c>
      <c r="B5" s="11" t="s">
        <v>43</v>
      </c>
      <c r="C5" s="11" t="s">
        <v>26</v>
      </c>
      <c r="D5" s="11" t="s">
        <v>27</v>
      </c>
      <c r="E5" t="s">
        <v>44</v>
      </c>
      <c r="F5" s="11">
        <v>2</v>
      </c>
      <c r="G5" s="11" t="s">
        <v>45</v>
      </c>
      <c r="H5" s="55" t="s">
        <v>30</v>
      </c>
      <c r="I5" s="11" t="s">
        <v>46</v>
      </c>
      <c r="J5" s="11">
        <v>10</v>
      </c>
      <c r="K5" s="11" t="s">
        <v>32</v>
      </c>
      <c r="L5" s="11" t="s">
        <v>47</v>
      </c>
      <c r="M5" s="11" t="s">
        <v>48</v>
      </c>
    </row>
    <row r="6" spans="1:13" x14ac:dyDescent="0.25">
      <c r="A6" s="11">
        <v>102002</v>
      </c>
      <c r="B6" s="11" t="s">
        <v>49</v>
      </c>
      <c r="C6" s="58" t="s">
        <v>50</v>
      </c>
      <c r="D6" s="11" t="s">
        <v>27</v>
      </c>
      <c r="E6" s="11" t="s">
        <v>51</v>
      </c>
      <c r="F6" s="11">
        <v>2</v>
      </c>
      <c r="G6" s="11" t="s">
        <v>52</v>
      </c>
      <c r="H6" s="55" t="s">
        <v>30</v>
      </c>
      <c r="I6" s="11" t="s">
        <v>53</v>
      </c>
      <c r="J6" s="11">
        <v>10</v>
      </c>
      <c r="K6" s="11" t="s">
        <v>32</v>
      </c>
      <c r="L6" s="11" t="s">
        <v>54</v>
      </c>
      <c r="M6" s="11" t="s">
        <v>55</v>
      </c>
    </row>
    <row r="7" spans="1:13" x14ac:dyDescent="0.25">
      <c r="A7" s="11">
        <v>102003</v>
      </c>
      <c r="B7" s="11" t="s">
        <v>56</v>
      </c>
      <c r="C7" s="59" t="s">
        <v>57</v>
      </c>
      <c r="D7" s="11" t="s">
        <v>27</v>
      </c>
      <c r="E7" t="s">
        <v>58</v>
      </c>
      <c r="F7" s="11" t="s">
        <v>59</v>
      </c>
      <c r="G7" s="11" t="s">
        <v>60</v>
      </c>
      <c r="H7" s="55" t="s">
        <v>61</v>
      </c>
      <c r="I7" s="11" t="s">
        <v>62</v>
      </c>
      <c r="J7" s="11">
        <v>10</v>
      </c>
      <c r="K7" s="11" t="s">
        <v>32</v>
      </c>
      <c r="L7" s="11" t="s">
        <v>63</v>
      </c>
      <c r="M7" s="11" t="s">
        <v>64</v>
      </c>
    </row>
    <row r="8" spans="1:13" x14ac:dyDescent="0.25">
      <c r="A8" s="11">
        <v>103001</v>
      </c>
      <c r="B8" s="11" t="s">
        <v>65</v>
      </c>
      <c r="C8" s="11" t="s">
        <v>26</v>
      </c>
      <c r="D8" s="11" t="s">
        <v>27</v>
      </c>
      <c r="E8" s="11" t="s">
        <v>44</v>
      </c>
      <c r="F8" s="11">
        <v>3</v>
      </c>
      <c r="G8" s="11" t="s">
        <v>66</v>
      </c>
      <c r="H8" s="55" t="s">
        <v>30</v>
      </c>
      <c r="I8" s="11" t="s">
        <v>67</v>
      </c>
      <c r="J8" s="11">
        <v>10</v>
      </c>
      <c r="K8" s="11" t="s">
        <v>32</v>
      </c>
      <c r="L8" s="11" t="s">
        <v>68</v>
      </c>
      <c r="M8" s="11" t="s">
        <v>69</v>
      </c>
    </row>
    <row r="9" spans="1:13" x14ac:dyDescent="0.25">
      <c r="A9" s="11">
        <v>103002</v>
      </c>
      <c r="B9" s="11" t="s">
        <v>70</v>
      </c>
      <c r="C9" s="11" t="s">
        <v>26</v>
      </c>
      <c r="D9" s="11" t="s">
        <v>27</v>
      </c>
      <c r="E9" s="11" t="s">
        <v>36</v>
      </c>
      <c r="F9" s="11" t="s">
        <v>71</v>
      </c>
      <c r="G9" s="11" t="s">
        <v>72</v>
      </c>
      <c r="H9" s="55" t="s">
        <v>73</v>
      </c>
      <c r="I9" s="11" t="s">
        <v>74</v>
      </c>
      <c r="J9" s="11">
        <v>10</v>
      </c>
      <c r="K9" s="11" t="s">
        <v>32</v>
      </c>
      <c r="L9" s="11" t="s">
        <v>75</v>
      </c>
      <c r="M9" s="11" t="s">
        <v>76</v>
      </c>
    </row>
    <row r="10" spans="1:13" x14ac:dyDescent="0.25">
      <c r="A10" s="11">
        <v>104001</v>
      </c>
      <c r="B10" s="11" t="s">
        <v>77</v>
      </c>
      <c r="C10" s="11" t="s">
        <v>26</v>
      </c>
      <c r="D10" s="11" t="s">
        <v>27</v>
      </c>
      <c r="E10" s="11" t="s">
        <v>28</v>
      </c>
      <c r="F10" s="11">
        <v>4</v>
      </c>
      <c r="G10" s="11" t="s">
        <v>78</v>
      </c>
      <c r="H10" s="55" t="s">
        <v>30</v>
      </c>
      <c r="I10" s="11" t="s">
        <v>79</v>
      </c>
      <c r="J10" s="11">
        <v>10</v>
      </c>
      <c r="K10" s="11" t="s">
        <v>32</v>
      </c>
      <c r="L10" s="11" t="s">
        <v>80</v>
      </c>
      <c r="M10" s="11" t="s">
        <v>81</v>
      </c>
    </row>
    <row r="11" spans="1:13" x14ac:dyDescent="0.25">
      <c r="A11" s="11">
        <v>107001</v>
      </c>
      <c r="B11" s="60" t="s">
        <v>82</v>
      </c>
      <c r="C11" s="11" t="s">
        <v>26</v>
      </c>
      <c r="D11" s="11" t="s">
        <v>27</v>
      </c>
      <c r="E11" s="11" t="s">
        <v>36</v>
      </c>
      <c r="F11" s="11">
        <v>5</v>
      </c>
      <c r="G11" s="11" t="s">
        <v>83</v>
      </c>
      <c r="H11" s="55" t="s">
        <v>30</v>
      </c>
      <c r="I11" s="11" t="s">
        <v>84</v>
      </c>
      <c r="J11" s="11">
        <v>10</v>
      </c>
      <c r="K11" s="11" t="s">
        <v>32</v>
      </c>
      <c r="L11" s="11" t="s">
        <v>85</v>
      </c>
      <c r="M11" s="11" t="s">
        <v>86</v>
      </c>
    </row>
    <row r="12" spans="1:13" x14ac:dyDescent="0.25">
      <c r="A12" s="11">
        <v>109001</v>
      </c>
      <c r="B12" s="11" t="s">
        <v>87</v>
      </c>
      <c r="C12" s="11" t="s">
        <v>26</v>
      </c>
      <c r="D12" s="11" t="s">
        <v>27</v>
      </c>
      <c r="E12" s="11" t="s">
        <v>36</v>
      </c>
      <c r="F12" s="11" t="s">
        <v>88</v>
      </c>
      <c r="G12" s="11" t="s">
        <v>89</v>
      </c>
      <c r="H12" s="55" t="s">
        <v>90</v>
      </c>
      <c r="I12" s="11" t="s">
        <v>91</v>
      </c>
      <c r="J12" s="11">
        <v>10</v>
      </c>
      <c r="K12" s="11" t="s">
        <v>32</v>
      </c>
      <c r="L12" s="11" t="s">
        <v>92</v>
      </c>
      <c r="M12" s="11" t="s">
        <v>93</v>
      </c>
    </row>
    <row r="13" spans="1:13" x14ac:dyDescent="0.25">
      <c r="A13" s="11">
        <v>111001</v>
      </c>
      <c r="B13" s="11" t="s">
        <v>94</v>
      </c>
      <c r="C13" s="11" t="s">
        <v>26</v>
      </c>
      <c r="D13" s="11" t="s">
        <v>27</v>
      </c>
      <c r="E13" s="11" t="s">
        <v>95</v>
      </c>
      <c r="F13" s="11" t="s">
        <v>96</v>
      </c>
      <c r="G13" s="11">
        <v>0</v>
      </c>
      <c r="H13" s="55">
        <v>11100101</v>
      </c>
      <c r="I13" s="11" t="s">
        <v>94</v>
      </c>
      <c r="J13" s="11">
        <v>10</v>
      </c>
      <c r="K13" s="11">
        <v>0</v>
      </c>
      <c r="L13" s="11">
        <v>0</v>
      </c>
      <c r="M13" s="11" t="s">
        <v>97</v>
      </c>
    </row>
    <row r="14" spans="1:13" x14ac:dyDescent="0.25">
      <c r="A14" s="11">
        <v>200001</v>
      </c>
      <c r="B14" s="11" t="s">
        <v>98</v>
      </c>
      <c r="C14" s="11" t="s">
        <v>26</v>
      </c>
      <c r="D14" s="11" t="s">
        <v>99</v>
      </c>
      <c r="E14" s="11" t="s">
        <v>44</v>
      </c>
      <c r="F14" s="11">
        <v>7</v>
      </c>
      <c r="G14" s="11" t="s">
        <v>100</v>
      </c>
      <c r="H14" s="55" t="s">
        <v>30</v>
      </c>
      <c r="I14" s="11" t="s">
        <v>101</v>
      </c>
      <c r="J14" s="11">
        <v>10</v>
      </c>
      <c r="K14" s="11" t="s">
        <v>102</v>
      </c>
      <c r="L14" s="11" t="s">
        <v>103</v>
      </c>
      <c r="M14" s="11" t="s">
        <v>104</v>
      </c>
    </row>
    <row r="15" spans="1:13" x14ac:dyDescent="0.25">
      <c r="A15" s="11">
        <v>200002</v>
      </c>
      <c r="B15" s="11" t="s">
        <v>105</v>
      </c>
      <c r="C15" s="59" t="s">
        <v>57</v>
      </c>
      <c r="D15" s="11" t="s">
        <v>99</v>
      </c>
      <c r="E15" s="11" t="s">
        <v>106</v>
      </c>
      <c r="F15" s="11">
        <v>0</v>
      </c>
      <c r="G15" s="11" t="s">
        <v>107</v>
      </c>
      <c r="H15" s="55" t="s">
        <v>108</v>
      </c>
      <c r="I15" s="11" t="s">
        <v>109</v>
      </c>
      <c r="J15" s="11">
        <v>10</v>
      </c>
      <c r="K15" s="11" t="s">
        <v>110</v>
      </c>
      <c r="L15" s="11" t="s">
        <v>111</v>
      </c>
      <c r="M15" s="11" t="s">
        <v>112</v>
      </c>
    </row>
    <row r="16" spans="1:13" x14ac:dyDescent="0.25">
      <c r="A16" s="11">
        <v>106006</v>
      </c>
      <c r="B16" s="61" t="s">
        <v>113</v>
      </c>
      <c r="C16" s="62" t="s">
        <v>50</v>
      </c>
      <c r="D16" s="11" t="s">
        <v>27</v>
      </c>
      <c r="E16" s="11" t="s">
        <v>44</v>
      </c>
      <c r="F16" s="11" t="s">
        <v>114</v>
      </c>
      <c r="G16" s="11" t="s">
        <v>115</v>
      </c>
      <c r="H16" s="55" t="s">
        <v>116</v>
      </c>
      <c r="I16" s="11" t="s">
        <v>117</v>
      </c>
      <c r="J16" s="11">
        <v>10</v>
      </c>
      <c r="K16" s="11" t="s">
        <v>32</v>
      </c>
      <c r="L16" s="67" t="s">
        <v>118</v>
      </c>
      <c r="M16" s="11" t="s">
        <v>119</v>
      </c>
    </row>
    <row r="17" spans="1:13" ht="28.8" x14ac:dyDescent="0.25">
      <c r="A17" s="11">
        <v>300001</v>
      </c>
      <c r="B17" s="53" t="s">
        <v>120</v>
      </c>
      <c r="C17" s="11" t="s">
        <v>26</v>
      </c>
      <c r="D17" s="11" t="s">
        <v>121</v>
      </c>
      <c r="E17" s="11" t="s">
        <v>44</v>
      </c>
      <c r="F17" s="11">
        <v>8</v>
      </c>
      <c r="G17" s="11" t="s">
        <v>122</v>
      </c>
      <c r="H17" s="55" t="s">
        <v>30</v>
      </c>
      <c r="I17" s="11" t="s">
        <v>123</v>
      </c>
      <c r="J17" s="11">
        <v>10</v>
      </c>
      <c r="K17" s="11" t="s">
        <v>32</v>
      </c>
      <c r="L17" s="67" t="s">
        <v>124</v>
      </c>
      <c r="M17" s="11" t="s">
        <v>125</v>
      </c>
    </row>
    <row r="18" spans="1:13" ht="28.8" x14ac:dyDescent="0.25">
      <c r="A18" s="11">
        <v>101003</v>
      </c>
      <c r="B18" s="61" t="s">
        <v>126</v>
      </c>
      <c r="C18" s="62" t="s">
        <v>50</v>
      </c>
      <c r="D18" s="11" t="s">
        <v>27</v>
      </c>
      <c r="E18" s="11" t="s">
        <v>127</v>
      </c>
      <c r="F18" s="11" t="s">
        <v>37</v>
      </c>
      <c r="G18" s="11" t="s">
        <v>128</v>
      </c>
      <c r="H18" s="55" t="s">
        <v>129</v>
      </c>
      <c r="I18" s="11" t="s">
        <v>130</v>
      </c>
      <c r="J18" s="11">
        <v>10</v>
      </c>
      <c r="K18" s="11" t="s">
        <v>32</v>
      </c>
      <c r="L18" s="67" t="s">
        <v>131</v>
      </c>
      <c r="M18" s="11" t="s">
        <v>132</v>
      </c>
    </row>
    <row r="19" spans="1:13" x14ac:dyDescent="0.25">
      <c r="A19" s="11">
        <v>105001</v>
      </c>
      <c r="B19" s="61" t="s">
        <v>133</v>
      </c>
      <c r="C19" s="62" t="s">
        <v>50</v>
      </c>
      <c r="D19" s="11" t="s">
        <v>27</v>
      </c>
      <c r="E19" s="11" t="s">
        <v>36</v>
      </c>
      <c r="F19" s="11" t="s">
        <v>134</v>
      </c>
      <c r="G19" s="11" t="s">
        <v>135</v>
      </c>
      <c r="H19" s="55" t="s">
        <v>136</v>
      </c>
      <c r="I19" s="11" t="s">
        <v>137</v>
      </c>
      <c r="J19" s="11">
        <v>10</v>
      </c>
      <c r="K19" s="11" t="s">
        <v>32</v>
      </c>
      <c r="L19" s="67" t="s">
        <v>138</v>
      </c>
      <c r="M19" s="11" t="s">
        <v>139</v>
      </c>
    </row>
    <row r="20" spans="1:13" ht="28.8" x14ac:dyDescent="0.25">
      <c r="A20" s="11">
        <v>101004</v>
      </c>
      <c r="B20" s="61" t="s">
        <v>140</v>
      </c>
      <c r="C20" s="62" t="s">
        <v>50</v>
      </c>
      <c r="D20" s="11" t="s">
        <v>27</v>
      </c>
      <c r="E20" t="s">
        <v>44</v>
      </c>
      <c r="F20" s="11" t="s">
        <v>37</v>
      </c>
      <c r="G20" s="11" t="s">
        <v>141</v>
      </c>
      <c r="H20" s="55" t="s">
        <v>142</v>
      </c>
      <c r="I20" s="11" t="s">
        <v>143</v>
      </c>
      <c r="J20" s="11">
        <v>10</v>
      </c>
      <c r="K20" s="11" t="s">
        <v>32</v>
      </c>
      <c r="L20" s="67" t="s">
        <v>144</v>
      </c>
      <c r="M20" s="67" t="s">
        <v>145</v>
      </c>
    </row>
    <row r="21" spans="1:13" x14ac:dyDescent="0.25">
      <c r="A21" s="11">
        <v>300002</v>
      </c>
      <c r="B21" s="61" t="s">
        <v>146</v>
      </c>
      <c r="C21" s="62" t="s">
        <v>50</v>
      </c>
      <c r="D21" s="11" t="s">
        <v>121</v>
      </c>
      <c r="E21" t="s">
        <v>44</v>
      </c>
      <c r="F21" s="11" t="s">
        <v>121</v>
      </c>
      <c r="G21" s="11" t="s">
        <v>147</v>
      </c>
      <c r="H21" s="55" t="s">
        <v>148</v>
      </c>
      <c r="I21" s="11" t="s">
        <v>149</v>
      </c>
      <c r="J21" s="11">
        <v>10</v>
      </c>
      <c r="K21" s="11" t="s">
        <v>32</v>
      </c>
      <c r="L21" s="67" t="s">
        <v>150</v>
      </c>
      <c r="M21" s="67" t="s">
        <v>151</v>
      </c>
    </row>
    <row r="22" spans="1:13" x14ac:dyDescent="0.25">
      <c r="A22" s="11">
        <v>201003</v>
      </c>
      <c r="B22" s="61" t="s">
        <v>152</v>
      </c>
      <c r="C22" s="62" t="s">
        <v>50</v>
      </c>
      <c r="D22" s="11" t="s">
        <v>99</v>
      </c>
      <c r="E22" t="s">
        <v>44</v>
      </c>
      <c r="F22" s="11" t="s">
        <v>99</v>
      </c>
      <c r="G22" s="11" t="s">
        <v>153</v>
      </c>
      <c r="H22" s="55" t="s">
        <v>154</v>
      </c>
      <c r="I22" s="11" t="s">
        <v>155</v>
      </c>
      <c r="J22" s="11">
        <v>10</v>
      </c>
      <c r="K22" s="11" t="s">
        <v>32</v>
      </c>
      <c r="L22" s="67" t="s">
        <v>156</v>
      </c>
      <c r="M22" s="67" t="s">
        <v>157</v>
      </c>
    </row>
    <row r="23" spans="1:13" x14ac:dyDescent="0.25">
      <c r="A23" s="11">
        <v>201004</v>
      </c>
      <c r="B23" s="61" t="s">
        <v>158</v>
      </c>
      <c r="C23" s="62" t="s">
        <v>50</v>
      </c>
      <c r="D23" s="11" t="s">
        <v>99</v>
      </c>
      <c r="E23" t="s">
        <v>36</v>
      </c>
      <c r="F23" s="11" t="s">
        <v>99</v>
      </c>
      <c r="G23" s="11" t="s">
        <v>159</v>
      </c>
      <c r="H23" s="55" t="s">
        <v>160</v>
      </c>
      <c r="I23" s="11" t="s">
        <v>161</v>
      </c>
      <c r="J23" s="11">
        <v>10</v>
      </c>
      <c r="K23" s="11" t="s">
        <v>32</v>
      </c>
      <c r="L23" s="67" t="s">
        <v>162</v>
      </c>
      <c r="M23" s="11" t="s">
        <v>163</v>
      </c>
    </row>
    <row r="24" spans="1:13" x14ac:dyDescent="0.25">
      <c r="A24" s="11">
        <v>104002</v>
      </c>
      <c r="B24" s="61" t="s">
        <v>164</v>
      </c>
      <c r="C24" s="62" t="s">
        <v>50</v>
      </c>
      <c r="D24" s="11" t="s">
        <v>27</v>
      </c>
      <c r="E24" t="s">
        <v>44</v>
      </c>
      <c r="F24" s="11" t="s">
        <v>134</v>
      </c>
      <c r="G24" s="11" t="s">
        <v>165</v>
      </c>
      <c r="H24" s="55" t="s">
        <v>166</v>
      </c>
      <c r="I24" s="11" t="s">
        <v>167</v>
      </c>
      <c r="J24" s="11">
        <v>10</v>
      </c>
      <c r="K24" s="11" t="s">
        <v>32</v>
      </c>
      <c r="L24" s="67" t="s">
        <v>168</v>
      </c>
      <c r="M24" s="11" t="s">
        <v>169</v>
      </c>
    </row>
    <row r="25" spans="1:13" x14ac:dyDescent="0.25">
      <c r="A25" s="11">
        <v>102004</v>
      </c>
      <c r="B25" s="61" t="s">
        <v>170</v>
      </c>
      <c r="C25" s="62" t="s">
        <v>50</v>
      </c>
      <c r="D25" s="11" t="s">
        <v>27</v>
      </c>
      <c r="E25" t="s">
        <v>44</v>
      </c>
      <c r="F25" s="11" t="s">
        <v>59</v>
      </c>
      <c r="G25" s="11" t="s">
        <v>171</v>
      </c>
      <c r="H25" s="55" t="s">
        <v>172</v>
      </c>
      <c r="I25" s="11" t="s">
        <v>173</v>
      </c>
      <c r="J25" s="11">
        <v>10</v>
      </c>
      <c r="K25" s="11" t="s">
        <v>32</v>
      </c>
      <c r="L25" s="67" t="s">
        <v>174</v>
      </c>
      <c r="M25" s="11" t="s">
        <v>175</v>
      </c>
    </row>
    <row r="26" spans="1:13" x14ac:dyDescent="0.25">
      <c r="A26" s="11">
        <v>103003</v>
      </c>
      <c r="B26" s="61" t="s">
        <v>176</v>
      </c>
      <c r="C26" s="62" t="s">
        <v>50</v>
      </c>
      <c r="D26" s="11" t="s">
        <v>27</v>
      </c>
      <c r="E26" t="s">
        <v>127</v>
      </c>
      <c r="F26" s="11" t="s">
        <v>71</v>
      </c>
      <c r="G26" s="11" t="s">
        <v>177</v>
      </c>
      <c r="H26" s="55" t="s">
        <v>178</v>
      </c>
      <c r="I26" s="11" t="s">
        <v>179</v>
      </c>
      <c r="J26" s="11">
        <v>10</v>
      </c>
      <c r="K26" s="11" t="s">
        <v>32</v>
      </c>
      <c r="L26" s="67" t="s">
        <v>180</v>
      </c>
      <c r="M26" s="11" t="s">
        <v>181</v>
      </c>
    </row>
    <row r="27" spans="1:13" x14ac:dyDescent="0.25">
      <c r="A27" s="11">
        <v>111002</v>
      </c>
      <c r="B27" s="61" t="s">
        <v>182</v>
      </c>
      <c r="C27" s="62" t="s">
        <v>50</v>
      </c>
      <c r="D27" s="11" t="s">
        <v>27</v>
      </c>
      <c r="E27" t="s">
        <v>95</v>
      </c>
      <c r="F27" s="11" t="s">
        <v>96</v>
      </c>
      <c r="G27" s="11">
        <v>0</v>
      </c>
      <c r="H27" s="55" t="s">
        <v>183</v>
      </c>
      <c r="I27" s="11" t="s">
        <v>182</v>
      </c>
      <c r="J27" s="11">
        <v>10</v>
      </c>
      <c r="K27" s="11">
        <v>0</v>
      </c>
      <c r="L27" s="67">
        <v>0</v>
      </c>
      <c r="M27" s="11" t="s">
        <v>184</v>
      </c>
    </row>
    <row r="28" spans="1:13" x14ac:dyDescent="0.25">
      <c r="A28" s="11">
        <v>104003</v>
      </c>
      <c r="B28" s="63" t="s">
        <v>185</v>
      </c>
      <c r="C28" s="64" t="s">
        <v>186</v>
      </c>
      <c r="D28" s="11" t="s">
        <v>27</v>
      </c>
      <c r="E28" t="s">
        <v>187</v>
      </c>
      <c r="F28" s="11" t="s">
        <v>134</v>
      </c>
      <c r="G28" s="11" t="s">
        <v>188</v>
      </c>
      <c r="H28" s="55" t="s">
        <v>189</v>
      </c>
      <c r="I28" s="11" t="s">
        <v>190</v>
      </c>
      <c r="J28" s="11">
        <v>10</v>
      </c>
      <c r="K28" s="11" t="s">
        <v>32</v>
      </c>
      <c r="L28" s="11" t="s">
        <v>191</v>
      </c>
      <c r="M28" s="11" t="s">
        <v>192</v>
      </c>
    </row>
    <row r="29" spans="1:13" x14ac:dyDescent="0.25">
      <c r="A29" s="11">
        <v>108001</v>
      </c>
      <c r="B29" s="61" t="s">
        <v>193</v>
      </c>
      <c r="C29" s="62" t="s">
        <v>50</v>
      </c>
      <c r="D29" s="11" t="s">
        <v>27</v>
      </c>
      <c r="E29" t="s">
        <v>44</v>
      </c>
      <c r="F29" s="11">
        <v>6</v>
      </c>
      <c r="G29" s="11" t="s">
        <v>194</v>
      </c>
      <c r="H29" s="55" t="s">
        <v>30</v>
      </c>
      <c r="I29" s="11" t="s">
        <v>195</v>
      </c>
      <c r="J29" s="11">
        <v>10</v>
      </c>
      <c r="K29" s="11" t="s">
        <v>32</v>
      </c>
      <c r="L29" s="67" t="s">
        <v>196</v>
      </c>
      <c r="M29" s="11" t="s">
        <v>197</v>
      </c>
    </row>
    <row r="30" spans="1:13" x14ac:dyDescent="0.25">
      <c r="A30" s="11">
        <v>101005</v>
      </c>
      <c r="B30" s="62" t="s">
        <v>198</v>
      </c>
      <c r="C30" s="62" t="s">
        <v>50</v>
      </c>
      <c r="D30" s="11" t="s">
        <v>27</v>
      </c>
      <c r="E30" s="11" t="s">
        <v>199</v>
      </c>
      <c r="F30" s="11" t="s">
        <v>37</v>
      </c>
      <c r="G30" s="11" t="s">
        <v>200</v>
      </c>
      <c r="H30" s="55" t="s">
        <v>201</v>
      </c>
      <c r="I30" s="11" t="s">
        <v>202</v>
      </c>
      <c r="J30" s="11">
        <v>10</v>
      </c>
      <c r="K30" s="11" t="s">
        <v>32</v>
      </c>
      <c r="L30" s="11" t="s">
        <v>203</v>
      </c>
      <c r="M30" s="11" t="s">
        <v>204</v>
      </c>
    </row>
    <row r="31" spans="1:13" x14ac:dyDescent="0.25">
      <c r="A31" s="11">
        <v>102005</v>
      </c>
      <c r="B31" s="62" t="s">
        <v>205</v>
      </c>
      <c r="C31" s="62" t="s">
        <v>50</v>
      </c>
      <c r="D31" s="11" t="s">
        <v>27</v>
      </c>
      <c r="E31" s="11" t="s">
        <v>199</v>
      </c>
      <c r="F31" s="11" t="s">
        <v>59</v>
      </c>
      <c r="G31" s="11" t="s">
        <v>206</v>
      </c>
      <c r="H31" s="55" t="s">
        <v>207</v>
      </c>
      <c r="I31" s="11" t="s">
        <v>208</v>
      </c>
      <c r="J31" s="11">
        <v>10</v>
      </c>
      <c r="K31" s="11" t="s">
        <v>32</v>
      </c>
      <c r="L31" s="11" t="s">
        <v>209</v>
      </c>
      <c r="M31" s="11" t="s">
        <v>210</v>
      </c>
    </row>
    <row r="32" spans="1:13" x14ac:dyDescent="0.25">
      <c r="A32" s="11">
        <v>204001</v>
      </c>
      <c r="B32" s="62" t="s">
        <v>211</v>
      </c>
      <c r="C32" s="62" t="s">
        <v>50</v>
      </c>
      <c r="D32" s="11" t="s">
        <v>99</v>
      </c>
      <c r="E32" s="11" t="s">
        <v>199</v>
      </c>
      <c r="F32" s="11" t="s">
        <v>99</v>
      </c>
      <c r="G32" s="11" t="s">
        <v>212</v>
      </c>
      <c r="H32" s="55" t="s">
        <v>213</v>
      </c>
      <c r="I32" s="11" t="s">
        <v>214</v>
      </c>
      <c r="J32" s="11">
        <v>10</v>
      </c>
      <c r="K32" s="11" t="s">
        <v>32</v>
      </c>
      <c r="L32" s="11" t="s">
        <v>215</v>
      </c>
      <c r="M32" s="11" t="s">
        <v>216</v>
      </c>
    </row>
    <row r="33" spans="1:13" x14ac:dyDescent="0.25">
      <c r="A33" s="11">
        <v>300003</v>
      </c>
      <c r="B33" s="62" t="s">
        <v>217</v>
      </c>
      <c r="C33" s="62" t="s">
        <v>50</v>
      </c>
      <c r="D33" s="11" t="s">
        <v>121</v>
      </c>
      <c r="E33" s="11" t="s">
        <v>199</v>
      </c>
      <c r="F33" s="11" t="s">
        <v>121</v>
      </c>
      <c r="G33" s="11" t="s">
        <v>218</v>
      </c>
      <c r="H33" s="55" t="s">
        <v>219</v>
      </c>
      <c r="I33" s="11" t="s">
        <v>220</v>
      </c>
      <c r="J33" s="11">
        <v>10</v>
      </c>
      <c r="K33" s="11" t="s">
        <v>32</v>
      </c>
      <c r="L33" s="11" t="s">
        <v>221</v>
      </c>
      <c r="M33" s="11" t="s">
        <v>222</v>
      </c>
    </row>
    <row r="34" spans="1:13" x14ac:dyDescent="0.25">
      <c r="A34" s="11">
        <v>101902</v>
      </c>
      <c r="B34" s="11" t="s">
        <v>223</v>
      </c>
      <c r="C34" s="11" t="s">
        <v>26</v>
      </c>
      <c r="D34" s="11" t="s">
        <v>27</v>
      </c>
      <c r="E34" s="11" t="s">
        <v>36</v>
      </c>
      <c r="F34" s="11" t="s">
        <v>37</v>
      </c>
      <c r="G34" s="11" t="s">
        <v>38</v>
      </c>
      <c r="H34" s="55" t="s">
        <v>224</v>
      </c>
      <c r="I34" s="11" t="s">
        <v>40</v>
      </c>
      <c r="J34" s="11">
        <v>10</v>
      </c>
      <c r="K34" s="11" t="s">
        <v>32</v>
      </c>
      <c r="L34" s="11" t="s">
        <v>41</v>
      </c>
      <c r="M34" s="11" t="s">
        <v>42</v>
      </c>
    </row>
    <row r="35" spans="1:13" x14ac:dyDescent="0.25">
      <c r="A35" s="11">
        <v>103902</v>
      </c>
      <c r="B35" s="11" t="s">
        <v>225</v>
      </c>
      <c r="C35" s="11" t="s">
        <v>26</v>
      </c>
      <c r="D35" s="11" t="s">
        <v>27</v>
      </c>
      <c r="E35" s="11" t="s">
        <v>36</v>
      </c>
      <c r="F35" s="11" t="s">
        <v>71</v>
      </c>
      <c r="G35" s="11" t="s">
        <v>72</v>
      </c>
      <c r="H35" s="55" t="s">
        <v>226</v>
      </c>
      <c r="I35" s="11" t="s">
        <v>74</v>
      </c>
      <c r="J35" s="11">
        <v>10</v>
      </c>
      <c r="K35" s="11" t="s">
        <v>32</v>
      </c>
      <c r="L35" s="11" t="s">
        <v>75</v>
      </c>
      <c r="M35" s="11" t="s">
        <v>76</v>
      </c>
    </row>
    <row r="36" spans="1:13" x14ac:dyDescent="0.25">
      <c r="A36" s="11">
        <v>107901</v>
      </c>
      <c r="B36" s="60" t="s">
        <v>227</v>
      </c>
      <c r="C36" s="11" t="s">
        <v>26</v>
      </c>
      <c r="D36" s="11" t="s">
        <v>27</v>
      </c>
      <c r="E36" s="11" t="s">
        <v>36</v>
      </c>
      <c r="F36" s="11" t="s">
        <v>228</v>
      </c>
      <c r="G36" s="11" t="s">
        <v>83</v>
      </c>
      <c r="H36" s="55" t="s">
        <v>229</v>
      </c>
      <c r="I36" s="11" t="s">
        <v>84</v>
      </c>
      <c r="J36" s="11">
        <v>10</v>
      </c>
      <c r="K36" s="11" t="s">
        <v>32</v>
      </c>
      <c r="L36" s="11" t="s">
        <v>85</v>
      </c>
      <c r="M36" s="11" t="s">
        <v>86</v>
      </c>
    </row>
    <row r="37" spans="1:13" x14ac:dyDescent="0.25">
      <c r="A37" s="11">
        <v>109901</v>
      </c>
      <c r="B37" s="11" t="s">
        <v>230</v>
      </c>
      <c r="C37" s="11" t="s">
        <v>26</v>
      </c>
      <c r="D37" s="11" t="s">
        <v>27</v>
      </c>
      <c r="E37" s="11" t="s">
        <v>36</v>
      </c>
      <c r="F37" s="11" t="s">
        <v>88</v>
      </c>
      <c r="G37" s="11" t="s">
        <v>89</v>
      </c>
      <c r="H37" s="55" t="s">
        <v>231</v>
      </c>
      <c r="I37" s="11" t="s">
        <v>91</v>
      </c>
      <c r="J37" s="11">
        <v>10</v>
      </c>
      <c r="K37" s="11" t="s">
        <v>32</v>
      </c>
      <c r="L37" s="11" t="s">
        <v>92</v>
      </c>
      <c r="M37" s="11" t="s">
        <v>93</v>
      </c>
    </row>
    <row r="38" spans="1:13" ht="28.8" x14ac:dyDescent="0.25">
      <c r="A38" s="11">
        <v>101903</v>
      </c>
      <c r="B38" s="61" t="s">
        <v>232</v>
      </c>
      <c r="C38" s="62" t="s">
        <v>50</v>
      </c>
      <c r="D38" s="11" t="s">
        <v>27</v>
      </c>
      <c r="E38" s="11" t="s">
        <v>127</v>
      </c>
      <c r="F38" s="11" t="s">
        <v>37</v>
      </c>
      <c r="G38" s="11" t="s">
        <v>128</v>
      </c>
      <c r="H38" s="55" t="s">
        <v>233</v>
      </c>
      <c r="I38" s="11" t="s">
        <v>130</v>
      </c>
      <c r="J38" s="11">
        <v>10</v>
      </c>
      <c r="K38" s="11" t="s">
        <v>32</v>
      </c>
      <c r="L38" s="67" t="s">
        <v>131</v>
      </c>
      <c r="M38" s="11" t="s">
        <v>132</v>
      </c>
    </row>
    <row r="39" spans="1:13" x14ac:dyDescent="0.25">
      <c r="A39" s="11">
        <v>105901</v>
      </c>
      <c r="B39" s="61" t="s">
        <v>234</v>
      </c>
      <c r="C39" s="62" t="s">
        <v>50</v>
      </c>
      <c r="D39" s="11" t="s">
        <v>27</v>
      </c>
      <c r="E39" s="11" t="s">
        <v>36</v>
      </c>
      <c r="F39" s="11" t="s">
        <v>134</v>
      </c>
      <c r="G39" s="11" t="s">
        <v>135</v>
      </c>
      <c r="H39" s="55" t="s">
        <v>235</v>
      </c>
      <c r="I39" s="11" t="s">
        <v>137</v>
      </c>
      <c r="J39" s="11">
        <v>10</v>
      </c>
      <c r="K39" s="11" t="s">
        <v>32</v>
      </c>
      <c r="L39" s="67" t="s">
        <v>138</v>
      </c>
      <c r="M39" s="11" t="s">
        <v>139</v>
      </c>
    </row>
    <row r="40" spans="1:13" ht="28.8" x14ac:dyDescent="0.25">
      <c r="A40" s="11">
        <v>101904</v>
      </c>
      <c r="B40" s="61" t="s">
        <v>236</v>
      </c>
      <c r="C40" s="62" t="s">
        <v>50</v>
      </c>
      <c r="D40" s="11" t="s">
        <v>27</v>
      </c>
      <c r="E40" t="s">
        <v>44</v>
      </c>
      <c r="F40" s="11" t="s">
        <v>37</v>
      </c>
      <c r="G40" s="11" t="s">
        <v>141</v>
      </c>
      <c r="H40" s="55" t="s">
        <v>237</v>
      </c>
      <c r="I40" s="11" t="s">
        <v>143</v>
      </c>
      <c r="J40" s="11">
        <v>10</v>
      </c>
      <c r="K40" s="11" t="s">
        <v>32</v>
      </c>
      <c r="L40" s="67" t="s">
        <v>144</v>
      </c>
      <c r="M40" s="67" t="s">
        <v>145</v>
      </c>
    </row>
    <row r="41" spans="1:13" x14ac:dyDescent="0.25">
      <c r="A41" s="11">
        <v>104902</v>
      </c>
      <c r="B41" s="61" t="s">
        <v>238</v>
      </c>
      <c r="C41" s="62" t="s">
        <v>50</v>
      </c>
      <c r="D41" s="11" t="s">
        <v>27</v>
      </c>
      <c r="E41" t="s">
        <v>44</v>
      </c>
      <c r="F41" s="11" t="s">
        <v>134</v>
      </c>
      <c r="G41" s="11" t="s">
        <v>165</v>
      </c>
      <c r="H41" s="55" t="s">
        <v>239</v>
      </c>
      <c r="I41" s="11" t="s">
        <v>167</v>
      </c>
      <c r="J41" s="11">
        <v>10</v>
      </c>
      <c r="K41" s="11" t="s">
        <v>32</v>
      </c>
      <c r="L41" s="67" t="s">
        <v>168</v>
      </c>
      <c r="M41" s="11" t="s">
        <v>169</v>
      </c>
    </row>
    <row r="42" spans="1:13" x14ac:dyDescent="0.25">
      <c r="A42" s="11">
        <v>102904</v>
      </c>
      <c r="B42" s="61" t="s">
        <v>240</v>
      </c>
      <c r="C42" s="62" t="s">
        <v>50</v>
      </c>
      <c r="D42" s="11" t="s">
        <v>27</v>
      </c>
      <c r="E42" t="s">
        <v>44</v>
      </c>
      <c r="F42" s="11" t="s">
        <v>59</v>
      </c>
      <c r="G42" s="11" t="s">
        <v>171</v>
      </c>
      <c r="H42" s="55" t="s">
        <v>241</v>
      </c>
      <c r="I42" s="11" t="s">
        <v>173</v>
      </c>
      <c r="J42" s="11">
        <v>10</v>
      </c>
      <c r="K42" s="11" t="s">
        <v>32</v>
      </c>
      <c r="L42" s="67" t="s">
        <v>174</v>
      </c>
      <c r="M42" s="11" t="s">
        <v>175</v>
      </c>
    </row>
    <row r="43" spans="1:13" x14ac:dyDescent="0.25">
      <c r="A43" s="11">
        <v>103903</v>
      </c>
      <c r="B43" s="61" t="s">
        <v>242</v>
      </c>
      <c r="C43" s="62" t="s">
        <v>50</v>
      </c>
      <c r="D43" s="11" t="s">
        <v>27</v>
      </c>
      <c r="E43" t="s">
        <v>127</v>
      </c>
      <c r="F43" s="11" t="s">
        <v>71</v>
      </c>
      <c r="G43" s="11" t="s">
        <v>177</v>
      </c>
      <c r="H43" s="55" t="s">
        <v>243</v>
      </c>
      <c r="I43" s="11" t="s">
        <v>179</v>
      </c>
      <c r="J43" s="11">
        <v>10</v>
      </c>
      <c r="K43" s="11" t="s">
        <v>32</v>
      </c>
      <c r="L43" s="67" t="s">
        <v>180</v>
      </c>
      <c r="M43" s="11" t="s">
        <v>181</v>
      </c>
    </row>
    <row r="44" spans="1:13" x14ac:dyDescent="0.25">
      <c r="A44" s="11">
        <v>104903</v>
      </c>
      <c r="B44" s="63" t="s">
        <v>244</v>
      </c>
      <c r="C44" s="64" t="s">
        <v>186</v>
      </c>
      <c r="D44" s="11" t="s">
        <v>27</v>
      </c>
      <c r="E44" t="s">
        <v>187</v>
      </c>
      <c r="F44" s="11" t="s">
        <v>134</v>
      </c>
      <c r="G44" s="11" t="s">
        <v>188</v>
      </c>
      <c r="H44" s="55" t="s">
        <v>245</v>
      </c>
      <c r="I44" s="11" t="s">
        <v>190</v>
      </c>
      <c r="J44" s="11">
        <v>10</v>
      </c>
      <c r="K44" s="11" t="s">
        <v>32</v>
      </c>
      <c r="L44" s="11" t="s">
        <v>191</v>
      </c>
      <c r="M44" s="11" t="s">
        <v>192</v>
      </c>
    </row>
    <row r="45" spans="1:13" x14ac:dyDescent="0.25">
      <c r="A45" s="11">
        <v>108901</v>
      </c>
      <c r="B45" s="61" t="s">
        <v>246</v>
      </c>
      <c r="C45" s="62" t="s">
        <v>50</v>
      </c>
      <c r="D45" s="11" t="s">
        <v>27</v>
      </c>
      <c r="E45" t="s">
        <v>44</v>
      </c>
      <c r="F45" s="11" t="s">
        <v>247</v>
      </c>
      <c r="G45" s="11" t="s">
        <v>194</v>
      </c>
      <c r="H45" s="55" t="s">
        <v>248</v>
      </c>
      <c r="I45" s="11" t="s">
        <v>195</v>
      </c>
      <c r="J45" s="11">
        <v>10</v>
      </c>
      <c r="K45" s="11" t="s">
        <v>32</v>
      </c>
      <c r="L45" s="67" t="s">
        <v>196</v>
      </c>
      <c r="M45" s="11" t="s">
        <v>197</v>
      </c>
    </row>
    <row r="46" spans="1:13" x14ac:dyDescent="0.25">
      <c r="A46" s="11">
        <v>100000</v>
      </c>
      <c r="B46" s="61" t="s">
        <v>249</v>
      </c>
      <c r="C46" s="62" t="s">
        <v>50</v>
      </c>
      <c r="D46" s="11" t="s">
        <v>27</v>
      </c>
      <c r="E46" t="s">
        <v>44</v>
      </c>
      <c r="F46" s="11">
        <v>9</v>
      </c>
      <c r="G46" s="11" t="s">
        <v>194</v>
      </c>
      <c r="H46" s="55" t="s">
        <v>245</v>
      </c>
      <c r="I46" s="11" t="s">
        <v>195</v>
      </c>
      <c r="J46" s="11">
        <v>10</v>
      </c>
      <c r="K46" s="11" t="s">
        <v>32</v>
      </c>
      <c r="L46" s="67" t="s">
        <v>250</v>
      </c>
      <c r="M46" s="11" t="s">
        <v>197</v>
      </c>
    </row>
    <row r="47" spans="1:13" x14ac:dyDescent="0.25">
      <c r="A47" s="11">
        <v>100001</v>
      </c>
      <c r="B47" s="61" t="s">
        <v>251</v>
      </c>
      <c r="C47" s="62" t="s">
        <v>50</v>
      </c>
      <c r="D47" s="11" t="s">
        <v>27</v>
      </c>
      <c r="E47" t="s">
        <v>44</v>
      </c>
      <c r="F47" s="11">
        <v>10</v>
      </c>
      <c r="G47" s="11" t="s">
        <v>194</v>
      </c>
      <c r="H47" s="55" t="s">
        <v>245</v>
      </c>
      <c r="I47" s="11" t="s">
        <v>195</v>
      </c>
      <c r="J47" s="11">
        <v>10</v>
      </c>
      <c r="K47" s="11" t="s">
        <v>32</v>
      </c>
      <c r="L47" s="67" t="s">
        <v>250</v>
      </c>
      <c r="M47" s="11" t="s">
        <v>197</v>
      </c>
    </row>
    <row r="48" spans="1:13" x14ac:dyDescent="0.25">
      <c r="A48" s="11">
        <v>100002</v>
      </c>
      <c r="B48" s="61" t="s">
        <v>252</v>
      </c>
      <c r="C48" s="62" t="s">
        <v>50</v>
      </c>
      <c r="D48" s="11" t="s">
        <v>27</v>
      </c>
      <c r="E48" t="s">
        <v>44</v>
      </c>
      <c r="F48" s="11">
        <v>11</v>
      </c>
      <c r="G48" s="11" t="s">
        <v>194</v>
      </c>
      <c r="H48" s="55" t="s">
        <v>245</v>
      </c>
      <c r="I48" s="11" t="s">
        <v>195</v>
      </c>
      <c r="J48" s="11">
        <v>10</v>
      </c>
      <c r="K48" s="11" t="s">
        <v>32</v>
      </c>
      <c r="L48" s="67" t="s">
        <v>250</v>
      </c>
      <c r="M48" s="11" t="s">
        <v>197</v>
      </c>
    </row>
    <row r="49" spans="1:13" x14ac:dyDescent="0.25">
      <c r="A49" s="11">
        <v>100003</v>
      </c>
      <c r="B49" s="61" t="s">
        <v>253</v>
      </c>
      <c r="C49" s="62" t="s">
        <v>50</v>
      </c>
      <c r="D49" s="11" t="s">
        <v>27</v>
      </c>
      <c r="E49" t="s">
        <v>44</v>
      </c>
      <c r="F49" s="11">
        <v>12</v>
      </c>
      <c r="G49" s="11" t="s">
        <v>194</v>
      </c>
      <c r="H49" s="55" t="s">
        <v>245</v>
      </c>
      <c r="I49" s="11" t="s">
        <v>195</v>
      </c>
      <c r="J49" s="11">
        <v>10</v>
      </c>
      <c r="K49" s="11" t="s">
        <v>32</v>
      </c>
      <c r="L49" s="67" t="s">
        <v>250</v>
      </c>
      <c r="M49" s="11" t="s">
        <v>197</v>
      </c>
    </row>
    <row r="50" spans="1:13" x14ac:dyDescent="0.25">
      <c r="A50" s="11">
        <v>100004</v>
      </c>
      <c r="B50" s="61" t="s">
        <v>254</v>
      </c>
      <c r="C50" s="62" t="s">
        <v>50</v>
      </c>
      <c r="D50" s="11" t="s">
        <v>27</v>
      </c>
      <c r="E50" t="s">
        <v>44</v>
      </c>
      <c r="F50" s="11">
        <v>13</v>
      </c>
      <c r="G50" s="11" t="s">
        <v>194</v>
      </c>
      <c r="H50" s="55" t="s">
        <v>245</v>
      </c>
      <c r="I50" s="11" t="s">
        <v>195</v>
      </c>
      <c r="J50" s="11">
        <v>10</v>
      </c>
      <c r="K50" s="11" t="s">
        <v>32</v>
      </c>
      <c r="L50" s="67" t="s">
        <v>250</v>
      </c>
      <c r="M50" s="11" t="s">
        <v>197</v>
      </c>
    </row>
    <row r="51" spans="1:13" x14ac:dyDescent="0.25">
      <c r="A51" s="11">
        <v>100005</v>
      </c>
      <c r="B51" s="61" t="s">
        <v>255</v>
      </c>
      <c r="C51" s="62" t="s">
        <v>50</v>
      </c>
      <c r="D51" s="11" t="s">
        <v>27</v>
      </c>
      <c r="E51" t="s">
        <v>44</v>
      </c>
      <c r="F51" s="11">
        <v>14</v>
      </c>
      <c r="G51" s="11" t="s">
        <v>194</v>
      </c>
      <c r="H51" s="55" t="s">
        <v>245</v>
      </c>
      <c r="I51" s="11" t="s">
        <v>195</v>
      </c>
      <c r="J51" s="11">
        <v>10</v>
      </c>
      <c r="K51" s="11" t="s">
        <v>32</v>
      </c>
      <c r="L51" s="67" t="s">
        <v>250</v>
      </c>
      <c r="M51" s="11" t="s">
        <v>197</v>
      </c>
    </row>
  </sheetData>
  <sortState xmlns:xlrd2="http://schemas.microsoft.com/office/spreadsheetml/2017/richdata2" ref="A2:K21">
    <sortCondition ref="A1"/>
  </sortState>
  <phoneticPr fontId="21" type="noConversion"/>
  <pageMargins left="0.7" right="0.7" top="0.75" bottom="0.75" header="0.3" footer="0.3"/>
  <pageSetup paperSize="9" orientation="portrait" horizontalDpi="360" verticalDpi="360"/>
  <ignoredErrors>
    <ignoredError sqref="H27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2"/>
  <sheetViews>
    <sheetView workbookViewId="0">
      <selection activeCell="B28" sqref="B28"/>
    </sheetView>
  </sheetViews>
  <sheetFormatPr defaultColWidth="9" defaultRowHeight="14.4" x14ac:dyDescent="0.25"/>
  <cols>
    <col min="1" max="1" width="11.6640625" customWidth="1"/>
    <col min="2" max="2" width="12.77734375" customWidth="1"/>
    <col min="3" max="3" width="22.33203125" customWidth="1"/>
    <col min="4" max="4" width="18.44140625" customWidth="1"/>
    <col min="5" max="5" width="16.88671875" customWidth="1"/>
    <col min="6" max="6" width="20.33203125" style="47" customWidth="1"/>
    <col min="7" max="7" width="36.21875" customWidth="1"/>
    <col min="8" max="8" width="10.6640625" style="37" customWidth="1"/>
    <col min="9" max="9" width="13.44140625" customWidth="1"/>
    <col min="10" max="10" width="17" customWidth="1"/>
    <col min="11" max="11" width="9.88671875" customWidth="1"/>
  </cols>
  <sheetData>
    <row r="1" spans="1:11" s="20" customFormat="1" x14ac:dyDescent="0.25">
      <c r="A1" s="20" t="s">
        <v>256</v>
      </c>
      <c r="B1" s="20" t="s">
        <v>257</v>
      </c>
      <c r="C1" s="20" t="s">
        <v>258</v>
      </c>
      <c r="D1" s="20" t="s">
        <v>259</v>
      </c>
      <c r="E1" s="20" t="s">
        <v>260</v>
      </c>
      <c r="F1" s="48" t="s">
        <v>261</v>
      </c>
      <c r="G1" s="20" t="s">
        <v>262</v>
      </c>
      <c r="H1" s="49" t="s">
        <v>263</v>
      </c>
      <c r="I1" s="20" t="s">
        <v>264</v>
      </c>
      <c r="J1" s="20" t="s">
        <v>265</v>
      </c>
    </row>
    <row r="2" spans="1:11" s="20" customFormat="1" x14ac:dyDescent="0.25">
      <c r="A2" s="20" t="s">
        <v>13</v>
      </c>
      <c r="B2" s="20" t="s">
        <v>266</v>
      </c>
      <c r="C2" s="20" t="s">
        <v>15</v>
      </c>
      <c r="D2" s="20" t="s">
        <v>267</v>
      </c>
      <c r="E2" s="20" t="s">
        <v>268</v>
      </c>
      <c r="F2" s="48" t="s">
        <v>269</v>
      </c>
      <c r="G2" s="20" t="s">
        <v>270</v>
      </c>
      <c r="H2" s="20" t="s">
        <v>271</v>
      </c>
      <c r="I2" s="20" t="s">
        <v>272</v>
      </c>
    </row>
    <row r="3" spans="1:11" x14ac:dyDescent="0.25">
      <c r="A3">
        <v>10100101</v>
      </c>
      <c r="B3">
        <v>101001</v>
      </c>
      <c r="C3">
        <v>1</v>
      </c>
      <c r="D3" t="s">
        <v>273</v>
      </c>
      <c r="E3">
        <v>0</v>
      </c>
      <c r="F3" s="47" t="s">
        <v>274</v>
      </c>
      <c r="G3" t="s">
        <v>275</v>
      </c>
      <c r="H3" s="37">
        <v>10100101</v>
      </c>
      <c r="I3" t="s">
        <v>276</v>
      </c>
      <c r="J3" t="s">
        <v>25</v>
      </c>
    </row>
    <row r="4" spans="1:11" x14ac:dyDescent="0.25">
      <c r="A4">
        <v>10100102</v>
      </c>
      <c r="B4">
        <v>101001</v>
      </c>
      <c r="C4">
        <v>2</v>
      </c>
      <c r="D4" t="s">
        <v>277</v>
      </c>
      <c r="E4">
        <v>20</v>
      </c>
      <c r="F4" s="47" t="s">
        <v>278</v>
      </c>
      <c r="G4" t="s">
        <v>279</v>
      </c>
      <c r="H4" s="37">
        <v>0</v>
      </c>
      <c r="I4" t="s">
        <v>276</v>
      </c>
      <c r="J4" t="s">
        <v>25</v>
      </c>
    </row>
    <row r="5" spans="1:11" x14ac:dyDescent="0.25">
      <c r="A5">
        <v>10100103</v>
      </c>
      <c r="B5">
        <v>101001</v>
      </c>
      <c r="C5">
        <v>3</v>
      </c>
      <c r="D5" t="s">
        <v>280</v>
      </c>
      <c r="E5">
        <v>30</v>
      </c>
      <c r="F5" s="47" t="s">
        <v>281</v>
      </c>
      <c r="G5" t="s">
        <v>282</v>
      </c>
      <c r="H5" s="37">
        <v>0</v>
      </c>
      <c r="I5" t="s">
        <v>276</v>
      </c>
      <c r="J5" t="s">
        <v>25</v>
      </c>
    </row>
    <row r="6" spans="1:11" x14ac:dyDescent="0.25">
      <c r="A6">
        <v>10100104</v>
      </c>
      <c r="B6">
        <v>101001</v>
      </c>
      <c r="C6">
        <v>4</v>
      </c>
      <c r="D6" t="s">
        <v>283</v>
      </c>
      <c r="E6">
        <v>50</v>
      </c>
      <c r="F6" s="47" t="s">
        <v>284</v>
      </c>
      <c r="G6" t="s">
        <v>285</v>
      </c>
      <c r="H6" s="37">
        <v>0</v>
      </c>
      <c r="I6" t="s">
        <v>286</v>
      </c>
      <c r="J6" t="s">
        <v>25</v>
      </c>
      <c r="K6" s="1"/>
    </row>
    <row r="7" spans="1:11" x14ac:dyDescent="0.25">
      <c r="A7">
        <v>10100105</v>
      </c>
      <c r="B7">
        <v>101001</v>
      </c>
      <c r="C7">
        <v>5</v>
      </c>
      <c r="D7" t="s">
        <v>287</v>
      </c>
      <c r="E7">
        <v>80</v>
      </c>
      <c r="F7" s="47" t="s">
        <v>288</v>
      </c>
      <c r="G7" t="s">
        <v>289</v>
      </c>
      <c r="H7" s="37">
        <v>10100102</v>
      </c>
      <c r="I7" t="s">
        <v>286</v>
      </c>
      <c r="J7" t="s">
        <v>25</v>
      </c>
      <c r="K7" s="1"/>
    </row>
    <row r="8" spans="1:11" x14ac:dyDescent="0.25">
      <c r="A8">
        <v>10100106</v>
      </c>
      <c r="B8">
        <v>101001</v>
      </c>
      <c r="C8">
        <v>6</v>
      </c>
      <c r="D8" t="s">
        <v>290</v>
      </c>
      <c r="E8">
        <v>130</v>
      </c>
      <c r="F8" s="47" t="s">
        <v>291</v>
      </c>
      <c r="G8" t="s">
        <v>292</v>
      </c>
      <c r="H8" s="37">
        <v>0</v>
      </c>
      <c r="I8" t="s">
        <v>286</v>
      </c>
      <c r="J8" t="s">
        <v>25</v>
      </c>
      <c r="K8" s="1"/>
    </row>
    <row r="9" spans="1:11" x14ac:dyDescent="0.25">
      <c r="A9">
        <v>10100107</v>
      </c>
      <c r="B9">
        <v>101001</v>
      </c>
      <c r="C9">
        <v>7</v>
      </c>
      <c r="D9" t="s">
        <v>293</v>
      </c>
      <c r="E9">
        <v>210</v>
      </c>
      <c r="F9" s="47" t="s">
        <v>294</v>
      </c>
      <c r="G9" t="s">
        <v>295</v>
      </c>
      <c r="H9" s="37">
        <v>0</v>
      </c>
      <c r="I9" t="s">
        <v>296</v>
      </c>
      <c r="J9" t="s">
        <v>25</v>
      </c>
      <c r="K9" s="1"/>
    </row>
    <row r="10" spans="1:11" x14ac:dyDescent="0.25">
      <c r="A10">
        <v>10100108</v>
      </c>
      <c r="B10">
        <v>101001</v>
      </c>
      <c r="C10">
        <v>8</v>
      </c>
      <c r="D10" t="s">
        <v>297</v>
      </c>
      <c r="E10">
        <v>340</v>
      </c>
      <c r="F10" s="47" t="s">
        <v>298</v>
      </c>
      <c r="G10" t="s">
        <v>299</v>
      </c>
      <c r="H10" s="37">
        <v>0</v>
      </c>
      <c r="I10" t="s">
        <v>296</v>
      </c>
      <c r="J10" t="s">
        <v>25</v>
      </c>
      <c r="K10" s="1"/>
    </row>
    <row r="11" spans="1:11" x14ac:dyDescent="0.25">
      <c r="A11">
        <v>10100109</v>
      </c>
      <c r="B11">
        <v>101001</v>
      </c>
      <c r="C11">
        <v>9</v>
      </c>
      <c r="D11" t="s">
        <v>300</v>
      </c>
      <c r="E11">
        <v>550</v>
      </c>
      <c r="F11" s="47" t="s">
        <v>301</v>
      </c>
      <c r="G11" t="s">
        <v>302</v>
      </c>
      <c r="H11" s="37">
        <v>0</v>
      </c>
      <c r="I11" t="s">
        <v>303</v>
      </c>
      <c r="J11" t="s">
        <v>25</v>
      </c>
      <c r="K11" s="1"/>
    </row>
    <row r="12" spans="1:11" x14ac:dyDescent="0.25">
      <c r="A12">
        <v>10100110</v>
      </c>
      <c r="B12">
        <v>101001</v>
      </c>
      <c r="C12">
        <v>10</v>
      </c>
      <c r="D12" t="s">
        <v>304</v>
      </c>
      <c r="E12">
        <v>890</v>
      </c>
      <c r="F12" s="47" t="s">
        <v>305</v>
      </c>
      <c r="G12" t="s">
        <v>306</v>
      </c>
      <c r="H12" s="37">
        <v>0</v>
      </c>
      <c r="I12" t="s">
        <v>38</v>
      </c>
      <c r="J12" t="s">
        <v>25</v>
      </c>
      <c r="K12" s="1"/>
    </row>
    <row r="13" spans="1:11" x14ac:dyDescent="0.25">
      <c r="A13">
        <v>10100201</v>
      </c>
      <c r="B13">
        <v>101002</v>
      </c>
      <c r="C13">
        <v>1</v>
      </c>
      <c r="D13" t="s">
        <v>273</v>
      </c>
      <c r="E13">
        <v>0</v>
      </c>
      <c r="F13" s="47" t="s">
        <v>274</v>
      </c>
      <c r="G13" t="s">
        <v>307</v>
      </c>
      <c r="H13" s="1">
        <v>10100201</v>
      </c>
      <c r="I13" t="s">
        <v>286</v>
      </c>
      <c r="J13" t="s">
        <v>35</v>
      </c>
      <c r="K13" s="1"/>
    </row>
    <row r="14" spans="1:11" x14ac:dyDescent="0.25">
      <c r="A14">
        <v>10100202</v>
      </c>
      <c r="B14">
        <v>101002</v>
      </c>
      <c r="C14">
        <v>2</v>
      </c>
      <c r="D14" t="s">
        <v>277</v>
      </c>
      <c r="E14">
        <v>20</v>
      </c>
      <c r="F14" s="47" t="s">
        <v>278</v>
      </c>
      <c r="G14" t="s">
        <v>308</v>
      </c>
      <c r="H14" s="37">
        <v>0</v>
      </c>
      <c r="I14" t="s">
        <v>286</v>
      </c>
      <c r="J14" t="s">
        <v>35</v>
      </c>
    </row>
    <row r="15" spans="1:11" x14ac:dyDescent="0.25">
      <c r="A15">
        <v>10100203</v>
      </c>
      <c r="B15">
        <v>101002</v>
      </c>
      <c r="C15">
        <v>3</v>
      </c>
      <c r="D15" t="s">
        <v>280</v>
      </c>
      <c r="E15">
        <v>30</v>
      </c>
      <c r="F15" s="47" t="s">
        <v>281</v>
      </c>
      <c r="G15" t="s">
        <v>309</v>
      </c>
      <c r="H15" s="37">
        <v>0</v>
      </c>
      <c r="I15" t="s">
        <v>286</v>
      </c>
      <c r="J15" t="s">
        <v>35</v>
      </c>
    </row>
    <row r="16" spans="1:11" x14ac:dyDescent="0.25">
      <c r="A16">
        <v>10100204</v>
      </c>
      <c r="B16">
        <v>101002</v>
      </c>
      <c r="C16">
        <v>4</v>
      </c>
      <c r="D16" t="s">
        <v>283</v>
      </c>
      <c r="E16">
        <v>50</v>
      </c>
      <c r="F16" s="47" t="s">
        <v>284</v>
      </c>
      <c r="G16" t="s">
        <v>310</v>
      </c>
      <c r="H16" s="37">
        <v>0</v>
      </c>
      <c r="I16" t="s">
        <v>286</v>
      </c>
      <c r="J16" t="s">
        <v>35</v>
      </c>
    </row>
    <row r="17" spans="1:10" x14ac:dyDescent="0.25">
      <c r="A17">
        <v>10100205</v>
      </c>
      <c r="B17">
        <v>101002</v>
      </c>
      <c r="C17">
        <v>5</v>
      </c>
      <c r="D17" t="s">
        <v>287</v>
      </c>
      <c r="E17">
        <v>80</v>
      </c>
      <c r="F17" s="47" t="s">
        <v>288</v>
      </c>
      <c r="G17" t="s">
        <v>311</v>
      </c>
      <c r="H17" s="37">
        <v>0</v>
      </c>
      <c r="I17" t="s">
        <v>296</v>
      </c>
      <c r="J17" t="s">
        <v>35</v>
      </c>
    </row>
    <row r="18" spans="1:10" x14ac:dyDescent="0.25">
      <c r="A18">
        <v>10100206</v>
      </c>
      <c r="B18">
        <v>101002</v>
      </c>
      <c r="C18">
        <v>6</v>
      </c>
      <c r="D18" t="s">
        <v>290</v>
      </c>
      <c r="E18">
        <v>130</v>
      </c>
      <c r="F18" s="47" t="s">
        <v>291</v>
      </c>
      <c r="G18" t="s">
        <v>312</v>
      </c>
      <c r="H18" s="1">
        <v>10100202</v>
      </c>
      <c r="I18" t="s">
        <v>296</v>
      </c>
      <c r="J18" t="s">
        <v>35</v>
      </c>
    </row>
    <row r="19" spans="1:10" x14ac:dyDescent="0.25">
      <c r="A19">
        <v>10100207</v>
      </c>
      <c r="B19">
        <v>101002</v>
      </c>
      <c r="C19">
        <v>7</v>
      </c>
      <c r="D19" t="s">
        <v>293</v>
      </c>
      <c r="E19">
        <v>210</v>
      </c>
      <c r="F19" s="47" t="s">
        <v>294</v>
      </c>
      <c r="G19" t="s">
        <v>313</v>
      </c>
      <c r="H19" s="37">
        <v>0</v>
      </c>
      <c r="I19" t="s">
        <v>296</v>
      </c>
      <c r="J19" t="s">
        <v>35</v>
      </c>
    </row>
    <row r="20" spans="1:10" x14ac:dyDescent="0.25">
      <c r="A20">
        <v>10100208</v>
      </c>
      <c r="B20">
        <v>101002</v>
      </c>
      <c r="C20">
        <v>8</v>
      </c>
      <c r="D20" t="s">
        <v>297</v>
      </c>
      <c r="E20">
        <v>340</v>
      </c>
      <c r="F20" s="47" t="s">
        <v>298</v>
      </c>
      <c r="G20" t="s">
        <v>314</v>
      </c>
      <c r="H20" s="37">
        <v>0</v>
      </c>
      <c r="I20" t="s">
        <v>303</v>
      </c>
      <c r="J20" t="s">
        <v>35</v>
      </c>
    </row>
    <row r="21" spans="1:10" x14ac:dyDescent="0.25">
      <c r="A21">
        <v>10100209</v>
      </c>
      <c r="B21">
        <v>101002</v>
      </c>
      <c r="C21">
        <v>9</v>
      </c>
      <c r="D21" t="s">
        <v>300</v>
      </c>
      <c r="E21">
        <v>550</v>
      </c>
      <c r="F21" s="47" t="s">
        <v>301</v>
      </c>
      <c r="G21" t="s">
        <v>315</v>
      </c>
      <c r="H21" s="37">
        <v>0</v>
      </c>
      <c r="I21" t="s">
        <v>303</v>
      </c>
      <c r="J21" t="s">
        <v>35</v>
      </c>
    </row>
    <row r="22" spans="1:10" x14ac:dyDescent="0.25">
      <c r="A22">
        <v>10100210</v>
      </c>
      <c r="B22">
        <v>101002</v>
      </c>
      <c r="C22">
        <v>10</v>
      </c>
      <c r="D22" t="s">
        <v>304</v>
      </c>
      <c r="E22">
        <v>890</v>
      </c>
      <c r="F22" s="47" t="s">
        <v>305</v>
      </c>
      <c r="G22" t="s">
        <v>316</v>
      </c>
      <c r="H22" s="37">
        <v>0</v>
      </c>
      <c r="I22" t="s">
        <v>38</v>
      </c>
      <c r="J22" t="s">
        <v>35</v>
      </c>
    </row>
    <row r="23" spans="1:10" x14ac:dyDescent="0.25">
      <c r="A23">
        <v>10200101</v>
      </c>
      <c r="B23">
        <v>102001</v>
      </c>
      <c r="C23">
        <v>1</v>
      </c>
      <c r="D23" t="s">
        <v>273</v>
      </c>
      <c r="E23">
        <v>0</v>
      </c>
      <c r="F23" s="47" t="s">
        <v>274</v>
      </c>
      <c r="G23" t="s">
        <v>317</v>
      </c>
      <c r="H23" s="37">
        <v>10200101</v>
      </c>
      <c r="I23" t="s">
        <v>318</v>
      </c>
      <c r="J23" t="s">
        <v>43</v>
      </c>
    </row>
    <row r="24" spans="1:10" x14ac:dyDescent="0.25">
      <c r="A24">
        <v>10200102</v>
      </c>
      <c r="B24">
        <v>102001</v>
      </c>
      <c r="C24">
        <v>2</v>
      </c>
      <c r="D24" t="s">
        <v>277</v>
      </c>
      <c r="E24">
        <v>20</v>
      </c>
      <c r="F24" s="47" t="s">
        <v>278</v>
      </c>
      <c r="G24" t="s">
        <v>319</v>
      </c>
      <c r="H24" s="37">
        <v>0</v>
      </c>
      <c r="I24" t="s">
        <v>318</v>
      </c>
      <c r="J24" t="s">
        <v>43</v>
      </c>
    </row>
    <row r="25" spans="1:10" x14ac:dyDescent="0.25">
      <c r="A25">
        <v>10200103</v>
      </c>
      <c r="B25">
        <v>102001</v>
      </c>
      <c r="C25">
        <v>3</v>
      </c>
      <c r="D25" t="s">
        <v>280</v>
      </c>
      <c r="E25">
        <v>30</v>
      </c>
      <c r="F25" s="47" t="s">
        <v>281</v>
      </c>
      <c r="G25" t="s">
        <v>320</v>
      </c>
      <c r="H25" s="37">
        <v>0</v>
      </c>
      <c r="I25" t="s">
        <v>318</v>
      </c>
      <c r="J25" t="s">
        <v>43</v>
      </c>
    </row>
    <row r="26" spans="1:10" x14ac:dyDescent="0.25">
      <c r="A26">
        <v>10200104</v>
      </c>
      <c r="B26">
        <v>102001</v>
      </c>
      <c r="C26">
        <v>4</v>
      </c>
      <c r="D26" t="s">
        <v>283</v>
      </c>
      <c r="E26">
        <v>50</v>
      </c>
      <c r="F26" s="47" t="s">
        <v>284</v>
      </c>
      <c r="G26" t="s">
        <v>321</v>
      </c>
      <c r="H26" s="37">
        <v>0</v>
      </c>
      <c r="I26" t="s">
        <v>322</v>
      </c>
      <c r="J26" t="s">
        <v>43</v>
      </c>
    </row>
    <row r="27" spans="1:10" x14ac:dyDescent="0.25">
      <c r="A27">
        <v>10200105</v>
      </c>
      <c r="B27">
        <v>102001</v>
      </c>
      <c r="C27">
        <v>5</v>
      </c>
      <c r="D27" t="s">
        <v>287</v>
      </c>
      <c r="E27">
        <v>80</v>
      </c>
      <c r="F27" s="47" t="s">
        <v>288</v>
      </c>
      <c r="G27" t="s">
        <v>323</v>
      </c>
      <c r="H27" s="37">
        <v>0</v>
      </c>
      <c r="I27" t="s">
        <v>322</v>
      </c>
      <c r="J27" t="s">
        <v>43</v>
      </c>
    </row>
    <row r="28" spans="1:10" x14ac:dyDescent="0.25">
      <c r="A28">
        <v>10200106</v>
      </c>
      <c r="B28">
        <v>102001</v>
      </c>
      <c r="C28">
        <v>6</v>
      </c>
      <c r="D28" t="s">
        <v>290</v>
      </c>
      <c r="E28">
        <v>130</v>
      </c>
      <c r="F28" s="47" t="s">
        <v>291</v>
      </c>
      <c r="G28" t="s">
        <v>324</v>
      </c>
      <c r="H28" s="37">
        <v>10200102</v>
      </c>
      <c r="I28" t="s">
        <v>322</v>
      </c>
      <c r="J28" t="s">
        <v>43</v>
      </c>
    </row>
    <row r="29" spans="1:10" x14ac:dyDescent="0.25">
      <c r="A29">
        <v>10200107</v>
      </c>
      <c r="B29">
        <v>102001</v>
      </c>
      <c r="C29">
        <v>7</v>
      </c>
      <c r="D29" t="s">
        <v>293</v>
      </c>
      <c r="E29">
        <v>210</v>
      </c>
      <c r="F29" s="47" t="s">
        <v>294</v>
      </c>
      <c r="G29" t="s">
        <v>325</v>
      </c>
      <c r="H29" s="37">
        <v>0</v>
      </c>
      <c r="I29" t="s">
        <v>326</v>
      </c>
      <c r="J29" t="s">
        <v>43</v>
      </c>
    </row>
    <row r="30" spans="1:10" x14ac:dyDescent="0.25">
      <c r="A30">
        <v>10200108</v>
      </c>
      <c r="B30">
        <v>102001</v>
      </c>
      <c r="C30">
        <v>8</v>
      </c>
      <c r="D30" t="s">
        <v>297</v>
      </c>
      <c r="E30">
        <v>340</v>
      </c>
      <c r="F30" s="47" t="s">
        <v>298</v>
      </c>
      <c r="G30" t="s">
        <v>327</v>
      </c>
      <c r="H30" s="37">
        <v>0</v>
      </c>
      <c r="I30" t="s">
        <v>326</v>
      </c>
      <c r="J30" t="s">
        <v>43</v>
      </c>
    </row>
    <row r="31" spans="1:10" x14ac:dyDescent="0.25">
      <c r="A31">
        <v>10200109</v>
      </c>
      <c r="B31">
        <v>102001</v>
      </c>
      <c r="C31">
        <v>9</v>
      </c>
      <c r="D31" t="s">
        <v>300</v>
      </c>
      <c r="E31">
        <v>550</v>
      </c>
      <c r="F31" s="47" t="s">
        <v>301</v>
      </c>
      <c r="G31" t="s">
        <v>328</v>
      </c>
      <c r="H31" s="37">
        <v>0</v>
      </c>
      <c r="I31" t="s">
        <v>329</v>
      </c>
      <c r="J31" t="s">
        <v>43</v>
      </c>
    </row>
    <row r="32" spans="1:10" x14ac:dyDescent="0.25">
      <c r="A32">
        <v>10200110</v>
      </c>
      <c r="B32">
        <v>102001</v>
      </c>
      <c r="C32">
        <v>10</v>
      </c>
      <c r="D32" t="s">
        <v>304</v>
      </c>
      <c r="E32">
        <v>890</v>
      </c>
      <c r="F32" s="47" t="s">
        <v>305</v>
      </c>
      <c r="G32" t="s">
        <v>330</v>
      </c>
      <c r="H32" s="37">
        <v>0</v>
      </c>
      <c r="I32" t="s">
        <v>331</v>
      </c>
      <c r="J32" t="s">
        <v>43</v>
      </c>
    </row>
    <row r="33" spans="1:10" x14ac:dyDescent="0.25">
      <c r="A33">
        <v>10200201</v>
      </c>
      <c r="B33">
        <v>102002</v>
      </c>
      <c r="C33">
        <v>1</v>
      </c>
      <c r="D33" t="s">
        <v>273</v>
      </c>
      <c r="E33">
        <v>0</v>
      </c>
      <c r="F33" s="47" t="s">
        <v>274</v>
      </c>
      <c r="G33" t="s">
        <v>332</v>
      </c>
      <c r="H33" s="37">
        <v>10200201</v>
      </c>
      <c r="I33" t="s">
        <v>329</v>
      </c>
      <c r="J33" s="11" t="s">
        <v>49</v>
      </c>
    </row>
    <row r="34" spans="1:10" x14ac:dyDescent="0.25">
      <c r="A34">
        <v>10200202</v>
      </c>
      <c r="B34">
        <v>102002</v>
      </c>
      <c r="C34">
        <v>2</v>
      </c>
      <c r="D34" t="s">
        <v>277</v>
      </c>
      <c r="E34">
        <v>50</v>
      </c>
      <c r="F34" s="47" t="s">
        <v>333</v>
      </c>
      <c r="G34" t="s">
        <v>334</v>
      </c>
      <c r="H34" s="37">
        <v>0</v>
      </c>
      <c r="I34" t="s">
        <v>329</v>
      </c>
      <c r="J34" s="11" t="s">
        <v>49</v>
      </c>
    </row>
    <row r="35" spans="1:10" x14ac:dyDescent="0.25">
      <c r="A35">
        <v>10200203</v>
      </c>
      <c r="B35">
        <v>102002</v>
      </c>
      <c r="C35">
        <v>3</v>
      </c>
      <c r="D35" t="s">
        <v>280</v>
      </c>
      <c r="E35">
        <v>100</v>
      </c>
      <c r="F35" s="47" t="s">
        <v>335</v>
      </c>
      <c r="G35" t="s">
        <v>336</v>
      </c>
      <c r="H35" s="37">
        <v>0</v>
      </c>
      <c r="I35" t="s">
        <v>331</v>
      </c>
      <c r="J35" s="11" t="s">
        <v>49</v>
      </c>
    </row>
    <row r="36" spans="1:10" x14ac:dyDescent="0.25">
      <c r="A36">
        <v>10200204</v>
      </c>
      <c r="B36">
        <v>102002</v>
      </c>
      <c r="C36">
        <v>4</v>
      </c>
      <c r="D36" t="s">
        <v>283</v>
      </c>
      <c r="E36">
        <v>150</v>
      </c>
      <c r="F36" s="47" t="s">
        <v>337</v>
      </c>
      <c r="G36" t="s">
        <v>338</v>
      </c>
      <c r="H36" s="37">
        <v>0</v>
      </c>
      <c r="I36" t="s">
        <v>331</v>
      </c>
      <c r="J36" s="11" t="s">
        <v>49</v>
      </c>
    </row>
    <row r="37" spans="1:10" x14ac:dyDescent="0.25">
      <c r="A37">
        <v>10200205</v>
      </c>
      <c r="B37">
        <v>102002</v>
      </c>
      <c r="C37">
        <v>5</v>
      </c>
      <c r="D37" t="s">
        <v>287</v>
      </c>
      <c r="E37">
        <v>250</v>
      </c>
      <c r="F37" s="47" t="s">
        <v>339</v>
      </c>
      <c r="G37" t="s">
        <v>340</v>
      </c>
      <c r="H37" s="37">
        <v>0</v>
      </c>
      <c r="I37" t="s">
        <v>331</v>
      </c>
      <c r="J37" s="11" t="s">
        <v>49</v>
      </c>
    </row>
    <row r="38" spans="1:10" x14ac:dyDescent="0.25">
      <c r="A38">
        <v>10200206</v>
      </c>
      <c r="B38">
        <v>102002</v>
      </c>
      <c r="C38">
        <v>6</v>
      </c>
      <c r="D38" t="s">
        <v>290</v>
      </c>
      <c r="E38">
        <v>400</v>
      </c>
      <c r="F38" s="47" t="s">
        <v>341</v>
      </c>
      <c r="G38" t="s">
        <v>342</v>
      </c>
      <c r="H38" s="37">
        <v>10200202</v>
      </c>
      <c r="I38" t="s">
        <v>331</v>
      </c>
      <c r="J38" s="11" t="s">
        <v>49</v>
      </c>
    </row>
    <row r="39" spans="1:10" x14ac:dyDescent="0.25">
      <c r="A39">
        <v>10200207</v>
      </c>
      <c r="B39">
        <v>102002</v>
      </c>
      <c r="C39">
        <v>7</v>
      </c>
      <c r="D39" t="s">
        <v>293</v>
      </c>
      <c r="E39">
        <v>650</v>
      </c>
      <c r="F39" s="47" t="s">
        <v>343</v>
      </c>
      <c r="G39" t="s">
        <v>344</v>
      </c>
      <c r="H39" s="37">
        <v>0</v>
      </c>
      <c r="I39" t="s">
        <v>345</v>
      </c>
      <c r="J39" s="11" t="s">
        <v>49</v>
      </c>
    </row>
    <row r="40" spans="1:10" x14ac:dyDescent="0.25">
      <c r="A40">
        <v>10200208</v>
      </c>
      <c r="B40">
        <v>102002</v>
      </c>
      <c r="C40">
        <v>8</v>
      </c>
      <c r="D40" t="s">
        <v>297</v>
      </c>
      <c r="E40">
        <v>900</v>
      </c>
      <c r="F40" s="47" t="s">
        <v>346</v>
      </c>
      <c r="G40" t="s">
        <v>347</v>
      </c>
      <c r="H40" s="37">
        <v>0</v>
      </c>
      <c r="I40" t="s">
        <v>345</v>
      </c>
      <c r="J40" s="11" t="s">
        <v>49</v>
      </c>
    </row>
    <row r="41" spans="1:10" x14ac:dyDescent="0.25">
      <c r="A41">
        <v>10200209</v>
      </c>
      <c r="B41">
        <v>102002</v>
      </c>
      <c r="C41">
        <v>9</v>
      </c>
      <c r="D41" t="s">
        <v>300</v>
      </c>
      <c r="E41">
        <v>1200</v>
      </c>
      <c r="F41" s="47" t="s">
        <v>348</v>
      </c>
      <c r="G41" t="s">
        <v>349</v>
      </c>
      <c r="H41" s="37">
        <v>10200203</v>
      </c>
      <c r="I41" t="s">
        <v>350</v>
      </c>
      <c r="J41" s="11" t="s">
        <v>49</v>
      </c>
    </row>
    <row r="42" spans="1:10" x14ac:dyDescent="0.25">
      <c r="A42">
        <v>10200210</v>
      </c>
      <c r="B42">
        <v>102002</v>
      </c>
      <c r="C42">
        <v>10</v>
      </c>
      <c r="D42" t="s">
        <v>304</v>
      </c>
      <c r="E42">
        <v>1500</v>
      </c>
      <c r="F42" s="47" t="s">
        <v>351</v>
      </c>
      <c r="G42" t="s">
        <v>352</v>
      </c>
      <c r="H42" s="37">
        <v>0</v>
      </c>
      <c r="I42" t="s">
        <v>353</v>
      </c>
      <c r="J42" s="11" t="s">
        <v>49</v>
      </c>
    </row>
    <row r="43" spans="1:10" x14ac:dyDescent="0.25">
      <c r="A43">
        <v>10200301</v>
      </c>
      <c r="B43">
        <v>102003</v>
      </c>
      <c r="C43">
        <v>1</v>
      </c>
      <c r="D43" t="s">
        <v>273</v>
      </c>
      <c r="E43">
        <v>0</v>
      </c>
      <c r="F43" s="47" t="s">
        <v>274</v>
      </c>
      <c r="G43" t="s">
        <v>354</v>
      </c>
      <c r="H43" s="37">
        <v>0</v>
      </c>
      <c r="I43" t="s">
        <v>171</v>
      </c>
      <c r="J43" s="11" t="s">
        <v>56</v>
      </c>
    </row>
    <row r="44" spans="1:10" x14ac:dyDescent="0.25">
      <c r="A44">
        <v>10200302</v>
      </c>
      <c r="B44">
        <v>102003</v>
      </c>
      <c r="C44">
        <v>2</v>
      </c>
      <c r="D44" t="s">
        <v>277</v>
      </c>
      <c r="E44">
        <v>500</v>
      </c>
      <c r="F44" s="47" t="s">
        <v>355</v>
      </c>
      <c r="G44" t="s">
        <v>356</v>
      </c>
      <c r="H44" s="37">
        <v>0</v>
      </c>
      <c r="I44" t="s">
        <v>171</v>
      </c>
      <c r="J44" s="11" t="s">
        <v>56</v>
      </c>
    </row>
    <row r="45" spans="1:10" x14ac:dyDescent="0.25">
      <c r="A45">
        <v>10200303</v>
      </c>
      <c r="B45">
        <v>102003</v>
      </c>
      <c r="C45">
        <v>3</v>
      </c>
      <c r="D45" t="s">
        <v>280</v>
      </c>
      <c r="E45">
        <v>1000</v>
      </c>
      <c r="F45" s="47" t="s">
        <v>357</v>
      </c>
      <c r="G45" t="s">
        <v>358</v>
      </c>
      <c r="H45" s="37">
        <v>0</v>
      </c>
      <c r="I45" t="s">
        <v>52</v>
      </c>
      <c r="J45" s="11" t="s">
        <v>56</v>
      </c>
    </row>
    <row r="46" spans="1:10" x14ac:dyDescent="0.25">
      <c r="A46">
        <v>10200304</v>
      </c>
      <c r="B46">
        <v>102003</v>
      </c>
      <c r="C46">
        <v>4</v>
      </c>
      <c r="D46" t="s">
        <v>283</v>
      </c>
      <c r="E46">
        <v>1500</v>
      </c>
      <c r="F46" s="47" t="s">
        <v>341</v>
      </c>
      <c r="G46" t="s">
        <v>359</v>
      </c>
      <c r="H46" s="37">
        <v>0</v>
      </c>
      <c r="I46" t="s">
        <v>52</v>
      </c>
      <c r="J46" s="11" t="s">
        <v>56</v>
      </c>
    </row>
    <row r="47" spans="1:10" x14ac:dyDescent="0.25">
      <c r="A47">
        <v>10200305</v>
      </c>
      <c r="B47">
        <v>102003</v>
      </c>
      <c r="C47">
        <v>5</v>
      </c>
      <c r="D47" t="s">
        <v>287</v>
      </c>
      <c r="E47">
        <v>2500</v>
      </c>
      <c r="F47" s="47" t="s">
        <v>346</v>
      </c>
      <c r="G47" t="s">
        <v>360</v>
      </c>
      <c r="H47" s="37">
        <v>0</v>
      </c>
      <c r="I47" t="s">
        <v>52</v>
      </c>
      <c r="J47" s="11" t="s">
        <v>56</v>
      </c>
    </row>
    <row r="48" spans="1:10" x14ac:dyDescent="0.25">
      <c r="A48">
        <v>10200306</v>
      </c>
      <c r="B48">
        <v>102003</v>
      </c>
      <c r="C48">
        <v>6</v>
      </c>
      <c r="D48" t="s">
        <v>290</v>
      </c>
      <c r="E48">
        <v>4000</v>
      </c>
      <c r="F48" s="47" t="s">
        <v>361</v>
      </c>
      <c r="G48" t="s">
        <v>362</v>
      </c>
      <c r="H48" s="37">
        <v>0</v>
      </c>
      <c r="I48" t="s">
        <v>363</v>
      </c>
      <c r="J48" s="11" t="s">
        <v>56</v>
      </c>
    </row>
    <row r="49" spans="1:10" x14ac:dyDescent="0.25">
      <c r="A49">
        <v>10200307</v>
      </c>
      <c r="B49">
        <v>102003</v>
      </c>
      <c r="C49">
        <v>7</v>
      </c>
      <c r="D49" t="s">
        <v>293</v>
      </c>
      <c r="E49">
        <v>6500</v>
      </c>
      <c r="F49" s="47" t="s">
        <v>364</v>
      </c>
      <c r="G49" t="s">
        <v>365</v>
      </c>
      <c r="H49" s="37">
        <v>0</v>
      </c>
      <c r="I49" t="s">
        <v>363</v>
      </c>
      <c r="J49" s="11" t="s">
        <v>56</v>
      </c>
    </row>
    <row r="50" spans="1:10" x14ac:dyDescent="0.25">
      <c r="A50">
        <v>10200308</v>
      </c>
      <c r="B50">
        <v>102003</v>
      </c>
      <c r="C50">
        <v>8</v>
      </c>
      <c r="D50" t="s">
        <v>297</v>
      </c>
      <c r="E50">
        <v>9000</v>
      </c>
      <c r="F50" s="47" t="s">
        <v>366</v>
      </c>
      <c r="G50" t="s">
        <v>367</v>
      </c>
      <c r="H50" s="37">
        <v>0</v>
      </c>
      <c r="I50" t="s">
        <v>368</v>
      </c>
      <c r="J50" s="11" t="s">
        <v>56</v>
      </c>
    </row>
    <row r="51" spans="1:10" x14ac:dyDescent="0.25">
      <c r="A51">
        <v>10200309</v>
      </c>
      <c r="B51">
        <v>102003</v>
      </c>
      <c r="C51">
        <v>9</v>
      </c>
      <c r="D51" t="s">
        <v>300</v>
      </c>
      <c r="E51">
        <v>12000</v>
      </c>
      <c r="F51" s="47" t="s">
        <v>369</v>
      </c>
      <c r="G51" t="s">
        <v>370</v>
      </c>
      <c r="H51" s="37">
        <v>0</v>
      </c>
      <c r="I51" t="s">
        <v>368</v>
      </c>
      <c r="J51" s="11" t="s">
        <v>56</v>
      </c>
    </row>
    <row r="52" spans="1:10" x14ac:dyDescent="0.25">
      <c r="A52">
        <v>10200310</v>
      </c>
      <c r="B52">
        <v>102003</v>
      </c>
      <c r="C52">
        <v>10</v>
      </c>
      <c r="D52" t="s">
        <v>304</v>
      </c>
      <c r="E52">
        <v>15000</v>
      </c>
      <c r="F52" s="47" t="s">
        <v>371</v>
      </c>
      <c r="G52" t="s">
        <v>372</v>
      </c>
      <c r="H52" s="37">
        <v>0</v>
      </c>
      <c r="I52" t="s">
        <v>368</v>
      </c>
      <c r="J52" s="11" t="s">
        <v>56</v>
      </c>
    </row>
    <row r="53" spans="1:10" x14ac:dyDescent="0.25">
      <c r="A53">
        <v>10300101</v>
      </c>
      <c r="B53">
        <v>103001</v>
      </c>
      <c r="C53">
        <v>1</v>
      </c>
      <c r="D53" t="s">
        <v>273</v>
      </c>
      <c r="E53">
        <v>0</v>
      </c>
      <c r="F53" s="47" t="s">
        <v>274</v>
      </c>
      <c r="G53" t="s">
        <v>373</v>
      </c>
      <c r="H53" s="1">
        <v>10300101</v>
      </c>
      <c r="I53" t="s">
        <v>374</v>
      </c>
      <c r="J53" s="11" t="s">
        <v>65</v>
      </c>
    </row>
    <row r="54" spans="1:10" x14ac:dyDescent="0.25">
      <c r="A54">
        <v>10300102</v>
      </c>
      <c r="B54">
        <v>103001</v>
      </c>
      <c r="C54">
        <v>2</v>
      </c>
      <c r="D54" t="s">
        <v>277</v>
      </c>
      <c r="E54">
        <v>20</v>
      </c>
      <c r="F54" s="47" t="s">
        <v>278</v>
      </c>
      <c r="G54" t="s">
        <v>375</v>
      </c>
      <c r="H54" s="37">
        <v>0</v>
      </c>
      <c r="I54" t="s">
        <v>374</v>
      </c>
      <c r="J54" s="11" t="s">
        <v>65</v>
      </c>
    </row>
    <row r="55" spans="1:10" x14ac:dyDescent="0.25">
      <c r="A55">
        <v>10300103</v>
      </c>
      <c r="B55">
        <v>103001</v>
      </c>
      <c r="C55">
        <v>3</v>
      </c>
      <c r="D55" t="s">
        <v>280</v>
      </c>
      <c r="E55">
        <v>30</v>
      </c>
      <c r="F55" s="47" t="s">
        <v>281</v>
      </c>
      <c r="G55" t="s">
        <v>376</v>
      </c>
      <c r="H55" s="37">
        <v>0</v>
      </c>
      <c r="I55" t="s">
        <v>374</v>
      </c>
      <c r="J55" s="11" t="s">
        <v>65</v>
      </c>
    </row>
    <row r="56" spans="1:10" x14ac:dyDescent="0.25">
      <c r="A56">
        <v>10300104</v>
      </c>
      <c r="B56">
        <v>103001</v>
      </c>
      <c r="C56">
        <v>4</v>
      </c>
      <c r="D56" t="s">
        <v>283</v>
      </c>
      <c r="E56">
        <v>50</v>
      </c>
      <c r="F56" s="47" t="s">
        <v>284</v>
      </c>
      <c r="G56" t="s">
        <v>377</v>
      </c>
      <c r="H56" s="37">
        <v>0</v>
      </c>
      <c r="I56" t="s">
        <v>378</v>
      </c>
      <c r="J56" s="11" t="s">
        <v>65</v>
      </c>
    </row>
    <row r="57" spans="1:10" x14ac:dyDescent="0.25">
      <c r="A57">
        <v>10300105</v>
      </c>
      <c r="B57">
        <v>103001</v>
      </c>
      <c r="C57">
        <v>5</v>
      </c>
      <c r="D57" t="s">
        <v>287</v>
      </c>
      <c r="E57">
        <v>80</v>
      </c>
      <c r="F57" s="47" t="s">
        <v>288</v>
      </c>
      <c r="G57" t="s">
        <v>379</v>
      </c>
      <c r="H57" s="1">
        <v>10300102</v>
      </c>
      <c r="I57" t="s">
        <v>378</v>
      </c>
      <c r="J57" s="11" t="s">
        <v>65</v>
      </c>
    </row>
    <row r="58" spans="1:10" x14ac:dyDescent="0.25">
      <c r="A58">
        <v>10300106</v>
      </c>
      <c r="B58">
        <v>103001</v>
      </c>
      <c r="C58">
        <v>6</v>
      </c>
      <c r="D58" t="s">
        <v>290</v>
      </c>
      <c r="E58">
        <v>130</v>
      </c>
      <c r="F58" s="47" t="s">
        <v>291</v>
      </c>
      <c r="G58" t="s">
        <v>380</v>
      </c>
      <c r="H58" s="37">
        <v>0</v>
      </c>
      <c r="I58" t="s">
        <v>378</v>
      </c>
      <c r="J58" s="11" t="s">
        <v>65</v>
      </c>
    </row>
    <row r="59" spans="1:10" x14ac:dyDescent="0.25">
      <c r="A59">
        <v>10300107</v>
      </c>
      <c r="B59">
        <v>103001</v>
      </c>
      <c r="C59">
        <v>7</v>
      </c>
      <c r="D59" t="s">
        <v>293</v>
      </c>
      <c r="E59">
        <v>210</v>
      </c>
      <c r="F59" s="47" t="s">
        <v>294</v>
      </c>
      <c r="G59" t="s">
        <v>381</v>
      </c>
      <c r="H59" s="37">
        <v>0</v>
      </c>
      <c r="I59" t="s">
        <v>382</v>
      </c>
      <c r="J59" s="11" t="s">
        <v>65</v>
      </c>
    </row>
    <row r="60" spans="1:10" x14ac:dyDescent="0.25">
      <c r="A60">
        <v>10300108</v>
      </c>
      <c r="B60">
        <v>103001</v>
      </c>
      <c r="C60">
        <v>8</v>
      </c>
      <c r="D60" t="s">
        <v>297</v>
      </c>
      <c r="E60">
        <v>340</v>
      </c>
      <c r="F60" s="47" t="s">
        <v>298</v>
      </c>
      <c r="G60" t="s">
        <v>383</v>
      </c>
      <c r="H60" s="37">
        <v>0</v>
      </c>
      <c r="I60" t="s">
        <v>382</v>
      </c>
      <c r="J60" s="11" t="s">
        <v>65</v>
      </c>
    </row>
    <row r="61" spans="1:10" x14ac:dyDescent="0.25">
      <c r="A61">
        <v>10300109</v>
      </c>
      <c r="B61">
        <v>103001</v>
      </c>
      <c r="C61">
        <v>9</v>
      </c>
      <c r="D61" t="s">
        <v>300</v>
      </c>
      <c r="E61">
        <v>550</v>
      </c>
      <c r="F61" s="47" t="s">
        <v>301</v>
      </c>
      <c r="G61" t="s">
        <v>384</v>
      </c>
      <c r="H61" s="37">
        <v>0</v>
      </c>
      <c r="I61" t="s">
        <v>385</v>
      </c>
      <c r="J61" s="11" t="s">
        <v>65</v>
      </c>
    </row>
    <row r="62" spans="1:10" x14ac:dyDescent="0.25">
      <c r="A62">
        <v>10300110</v>
      </c>
      <c r="B62">
        <v>103001</v>
      </c>
      <c r="C62">
        <v>10</v>
      </c>
      <c r="D62" t="s">
        <v>304</v>
      </c>
      <c r="E62">
        <v>890</v>
      </c>
      <c r="F62" s="47" t="s">
        <v>305</v>
      </c>
      <c r="G62" t="s">
        <v>386</v>
      </c>
      <c r="H62" s="37">
        <v>0</v>
      </c>
      <c r="I62" t="s">
        <v>72</v>
      </c>
      <c r="J62" s="11" t="s">
        <v>65</v>
      </c>
    </row>
    <row r="63" spans="1:10" x14ac:dyDescent="0.25">
      <c r="A63">
        <v>10300201</v>
      </c>
      <c r="B63">
        <v>103002</v>
      </c>
      <c r="C63">
        <v>1</v>
      </c>
      <c r="D63" t="s">
        <v>273</v>
      </c>
      <c r="E63">
        <v>0</v>
      </c>
      <c r="F63" s="47" t="s">
        <v>274</v>
      </c>
      <c r="G63" t="s">
        <v>387</v>
      </c>
      <c r="H63" s="1">
        <v>10300201</v>
      </c>
      <c r="I63" t="s">
        <v>378</v>
      </c>
      <c r="J63" s="11" t="s">
        <v>70</v>
      </c>
    </row>
    <row r="64" spans="1:10" x14ac:dyDescent="0.25">
      <c r="A64">
        <v>10300202</v>
      </c>
      <c r="B64">
        <v>103002</v>
      </c>
      <c r="C64">
        <v>2</v>
      </c>
      <c r="D64" t="s">
        <v>277</v>
      </c>
      <c r="E64">
        <v>20</v>
      </c>
      <c r="F64" s="47" t="s">
        <v>278</v>
      </c>
      <c r="G64" t="s">
        <v>388</v>
      </c>
      <c r="H64" s="37">
        <v>0</v>
      </c>
      <c r="I64" t="s">
        <v>378</v>
      </c>
      <c r="J64" s="11" t="s">
        <v>70</v>
      </c>
    </row>
    <row r="65" spans="1:10" x14ac:dyDescent="0.25">
      <c r="A65">
        <v>10300203</v>
      </c>
      <c r="B65">
        <v>103002</v>
      </c>
      <c r="C65">
        <v>3</v>
      </c>
      <c r="D65" t="s">
        <v>280</v>
      </c>
      <c r="E65">
        <v>30</v>
      </c>
      <c r="F65" s="47" t="s">
        <v>281</v>
      </c>
      <c r="G65" t="s">
        <v>376</v>
      </c>
      <c r="H65" s="37">
        <v>0</v>
      </c>
      <c r="I65" t="s">
        <v>378</v>
      </c>
      <c r="J65" s="11" t="s">
        <v>70</v>
      </c>
    </row>
    <row r="66" spans="1:10" x14ac:dyDescent="0.25">
      <c r="A66">
        <v>10300204</v>
      </c>
      <c r="B66">
        <v>103002</v>
      </c>
      <c r="C66">
        <v>4</v>
      </c>
      <c r="D66" t="s">
        <v>283</v>
      </c>
      <c r="E66">
        <v>50</v>
      </c>
      <c r="F66" s="47" t="s">
        <v>284</v>
      </c>
      <c r="G66" t="s">
        <v>377</v>
      </c>
      <c r="H66" s="37">
        <v>0</v>
      </c>
      <c r="I66" t="s">
        <v>378</v>
      </c>
      <c r="J66" s="11" t="s">
        <v>70</v>
      </c>
    </row>
    <row r="67" spans="1:10" x14ac:dyDescent="0.25">
      <c r="A67">
        <v>10300205</v>
      </c>
      <c r="B67">
        <v>103002</v>
      </c>
      <c r="C67">
        <v>5</v>
      </c>
      <c r="D67" t="s">
        <v>287</v>
      </c>
      <c r="E67">
        <v>80</v>
      </c>
      <c r="F67" s="47" t="s">
        <v>288</v>
      </c>
      <c r="G67" t="s">
        <v>379</v>
      </c>
      <c r="H67" s="37">
        <v>0</v>
      </c>
      <c r="I67" t="s">
        <v>382</v>
      </c>
      <c r="J67" s="11" t="s">
        <v>70</v>
      </c>
    </row>
    <row r="68" spans="1:10" x14ac:dyDescent="0.25">
      <c r="A68">
        <v>10300206</v>
      </c>
      <c r="B68">
        <v>103002</v>
      </c>
      <c r="C68">
        <v>6</v>
      </c>
      <c r="D68" t="s">
        <v>290</v>
      </c>
      <c r="E68">
        <v>130</v>
      </c>
      <c r="F68" s="47" t="s">
        <v>291</v>
      </c>
      <c r="G68" t="s">
        <v>380</v>
      </c>
      <c r="H68" s="37">
        <v>0</v>
      </c>
      <c r="I68" t="s">
        <v>382</v>
      </c>
      <c r="J68" s="11" t="s">
        <v>70</v>
      </c>
    </row>
    <row r="69" spans="1:10" x14ac:dyDescent="0.25">
      <c r="A69">
        <v>10300207</v>
      </c>
      <c r="B69">
        <v>103002</v>
      </c>
      <c r="C69">
        <v>7</v>
      </c>
      <c r="D69" t="s">
        <v>293</v>
      </c>
      <c r="E69">
        <v>210</v>
      </c>
      <c r="F69" s="47" t="s">
        <v>294</v>
      </c>
      <c r="G69" t="s">
        <v>381</v>
      </c>
      <c r="H69" s="1">
        <v>10300202</v>
      </c>
      <c r="I69" t="s">
        <v>382</v>
      </c>
      <c r="J69" s="11" t="s">
        <v>70</v>
      </c>
    </row>
    <row r="70" spans="1:10" x14ac:dyDescent="0.25">
      <c r="A70">
        <v>10300208</v>
      </c>
      <c r="B70">
        <v>103002</v>
      </c>
      <c r="C70">
        <v>8</v>
      </c>
      <c r="D70" t="s">
        <v>297</v>
      </c>
      <c r="E70">
        <v>340</v>
      </c>
      <c r="F70" s="47" t="s">
        <v>298</v>
      </c>
      <c r="G70" t="s">
        <v>383</v>
      </c>
      <c r="H70" s="37">
        <v>0</v>
      </c>
      <c r="I70" t="s">
        <v>385</v>
      </c>
      <c r="J70" s="11" t="s">
        <v>70</v>
      </c>
    </row>
    <row r="71" spans="1:10" x14ac:dyDescent="0.25">
      <c r="A71">
        <v>10300209</v>
      </c>
      <c r="B71">
        <v>103002</v>
      </c>
      <c r="C71">
        <v>9</v>
      </c>
      <c r="D71" t="s">
        <v>300</v>
      </c>
      <c r="E71">
        <v>550</v>
      </c>
      <c r="F71" s="47" t="s">
        <v>301</v>
      </c>
      <c r="G71" t="s">
        <v>384</v>
      </c>
      <c r="H71" s="37">
        <v>0</v>
      </c>
      <c r="I71" t="s">
        <v>385</v>
      </c>
      <c r="J71" s="11" t="s">
        <v>70</v>
      </c>
    </row>
    <row r="72" spans="1:10" x14ac:dyDescent="0.25">
      <c r="A72">
        <v>10300210</v>
      </c>
      <c r="B72">
        <v>103002</v>
      </c>
      <c r="C72">
        <v>10</v>
      </c>
      <c r="D72" t="s">
        <v>304</v>
      </c>
      <c r="E72">
        <v>890</v>
      </c>
      <c r="F72" s="47" t="s">
        <v>305</v>
      </c>
      <c r="G72" t="s">
        <v>386</v>
      </c>
      <c r="H72" s="37">
        <v>0</v>
      </c>
      <c r="I72" t="s">
        <v>72</v>
      </c>
      <c r="J72" s="11" t="s">
        <v>70</v>
      </c>
    </row>
    <row r="73" spans="1:10" x14ac:dyDescent="0.25">
      <c r="A73">
        <v>10400101</v>
      </c>
      <c r="B73">
        <v>104001</v>
      </c>
      <c r="C73">
        <v>1</v>
      </c>
      <c r="D73" t="s">
        <v>273</v>
      </c>
      <c r="E73">
        <v>0</v>
      </c>
      <c r="F73" s="47" t="s">
        <v>274</v>
      </c>
      <c r="G73" t="s">
        <v>389</v>
      </c>
      <c r="H73" s="1">
        <v>10400101</v>
      </c>
      <c r="I73" t="s">
        <v>390</v>
      </c>
      <c r="J73" s="11" t="s">
        <v>77</v>
      </c>
    </row>
    <row r="74" spans="1:10" x14ac:dyDescent="0.25">
      <c r="A74">
        <v>10400102</v>
      </c>
      <c r="B74">
        <v>104001</v>
      </c>
      <c r="C74">
        <v>2</v>
      </c>
      <c r="D74" t="s">
        <v>277</v>
      </c>
      <c r="E74">
        <v>20</v>
      </c>
      <c r="F74" s="47" t="s">
        <v>278</v>
      </c>
      <c r="G74" t="s">
        <v>391</v>
      </c>
      <c r="H74" s="37">
        <v>0</v>
      </c>
      <c r="I74" t="s">
        <v>390</v>
      </c>
      <c r="J74" s="11" t="s">
        <v>77</v>
      </c>
    </row>
    <row r="75" spans="1:10" x14ac:dyDescent="0.25">
      <c r="A75">
        <v>10400103</v>
      </c>
      <c r="B75">
        <v>104001</v>
      </c>
      <c r="C75">
        <v>3</v>
      </c>
      <c r="D75" t="s">
        <v>280</v>
      </c>
      <c r="E75">
        <v>30</v>
      </c>
      <c r="F75" s="47" t="s">
        <v>281</v>
      </c>
      <c r="G75" t="s">
        <v>392</v>
      </c>
      <c r="H75" s="37">
        <v>0</v>
      </c>
      <c r="I75" t="s">
        <v>390</v>
      </c>
      <c r="J75" s="11" t="s">
        <v>77</v>
      </c>
    </row>
    <row r="76" spans="1:10" x14ac:dyDescent="0.25">
      <c r="A76">
        <v>10400104</v>
      </c>
      <c r="B76">
        <v>104001</v>
      </c>
      <c r="C76">
        <v>4</v>
      </c>
      <c r="D76" t="s">
        <v>283</v>
      </c>
      <c r="E76">
        <v>50</v>
      </c>
      <c r="F76" s="47" t="s">
        <v>284</v>
      </c>
      <c r="G76" t="s">
        <v>393</v>
      </c>
      <c r="H76" s="37">
        <v>0</v>
      </c>
      <c r="I76" t="s">
        <v>394</v>
      </c>
      <c r="J76" s="11" t="s">
        <v>77</v>
      </c>
    </row>
    <row r="77" spans="1:10" x14ac:dyDescent="0.25">
      <c r="A77">
        <v>10400105</v>
      </c>
      <c r="B77">
        <v>104001</v>
      </c>
      <c r="C77">
        <v>5</v>
      </c>
      <c r="D77" t="s">
        <v>287</v>
      </c>
      <c r="E77">
        <v>80</v>
      </c>
      <c r="F77" s="47" t="s">
        <v>288</v>
      </c>
      <c r="G77" t="s">
        <v>395</v>
      </c>
      <c r="H77" s="37">
        <v>0</v>
      </c>
      <c r="I77" t="s">
        <v>394</v>
      </c>
      <c r="J77" s="11" t="s">
        <v>77</v>
      </c>
    </row>
    <row r="78" spans="1:10" x14ac:dyDescent="0.25">
      <c r="A78">
        <v>10400106</v>
      </c>
      <c r="B78">
        <v>104001</v>
      </c>
      <c r="C78">
        <v>6</v>
      </c>
      <c r="D78" t="s">
        <v>290</v>
      </c>
      <c r="E78">
        <v>130</v>
      </c>
      <c r="F78" s="47" t="s">
        <v>291</v>
      </c>
      <c r="G78" t="s">
        <v>396</v>
      </c>
      <c r="H78" s="37">
        <v>0</v>
      </c>
      <c r="I78" t="s">
        <v>394</v>
      </c>
      <c r="J78" s="11" t="s">
        <v>77</v>
      </c>
    </row>
    <row r="79" spans="1:10" x14ac:dyDescent="0.25">
      <c r="A79">
        <v>10400107</v>
      </c>
      <c r="B79">
        <v>104001</v>
      </c>
      <c r="C79">
        <v>7</v>
      </c>
      <c r="D79" t="s">
        <v>293</v>
      </c>
      <c r="E79">
        <v>210</v>
      </c>
      <c r="F79" s="47" t="s">
        <v>294</v>
      </c>
      <c r="G79" t="s">
        <v>397</v>
      </c>
      <c r="H79" s="1">
        <v>10400102</v>
      </c>
      <c r="I79" t="s">
        <v>398</v>
      </c>
      <c r="J79" s="11" t="s">
        <v>77</v>
      </c>
    </row>
    <row r="80" spans="1:10" x14ac:dyDescent="0.25">
      <c r="A80">
        <v>10400108</v>
      </c>
      <c r="B80">
        <v>104001</v>
      </c>
      <c r="C80">
        <v>8</v>
      </c>
      <c r="D80" t="s">
        <v>297</v>
      </c>
      <c r="E80">
        <v>340</v>
      </c>
      <c r="F80" s="47" t="s">
        <v>298</v>
      </c>
      <c r="G80" t="s">
        <v>399</v>
      </c>
      <c r="H80" s="37">
        <v>0</v>
      </c>
      <c r="I80" t="s">
        <v>398</v>
      </c>
      <c r="J80" s="11" t="s">
        <v>77</v>
      </c>
    </row>
    <row r="81" spans="1:10" x14ac:dyDescent="0.25">
      <c r="A81">
        <v>10400109</v>
      </c>
      <c r="B81">
        <v>104001</v>
      </c>
      <c r="C81">
        <v>9</v>
      </c>
      <c r="D81" t="s">
        <v>300</v>
      </c>
      <c r="E81">
        <v>550</v>
      </c>
      <c r="F81" s="47" t="s">
        <v>301</v>
      </c>
      <c r="G81" t="s">
        <v>400</v>
      </c>
      <c r="H81" s="37">
        <v>0</v>
      </c>
      <c r="I81" t="s">
        <v>401</v>
      </c>
      <c r="J81" s="11" t="s">
        <v>77</v>
      </c>
    </row>
    <row r="82" spans="1:10" x14ac:dyDescent="0.25">
      <c r="A82">
        <v>10400110</v>
      </c>
      <c r="B82">
        <v>104001</v>
      </c>
      <c r="C82">
        <v>10</v>
      </c>
      <c r="D82" t="s">
        <v>304</v>
      </c>
      <c r="E82">
        <v>890</v>
      </c>
      <c r="F82" s="47" t="s">
        <v>305</v>
      </c>
      <c r="G82" t="s">
        <v>402</v>
      </c>
      <c r="H82" s="37">
        <v>0</v>
      </c>
      <c r="I82" t="s">
        <v>403</v>
      </c>
      <c r="J82" s="11" t="s">
        <v>77</v>
      </c>
    </row>
    <row r="83" spans="1:10" x14ac:dyDescent="0.25">
      <c r="A83">
        <v>10700101</v>
      </c>
      <c r="B83">
        <v>107001</v>
      </c>
      <c r="C83">
        <v>1</v>
      </c>
      <c r="D83" t="s">
        <v>273</v>
      </c>
      <c r="E83">
        <v>0</v>
      </c>
      <c r="F83" s="47" t="s">
        <v>274</v>
      </c>
      <c r="G83" t="s">
        <v>404</v>
      </c>
      <c r="H83" s="1">
        <v>10700101</v>
      </c>
      <c r="I83" t="s">
        <v>405</v>
      </c>
      <c r="J83" t="s">
        <v>82</v>
      </c>
    </row>
    <row r="84" spans="1:10" x14ac:dyDescent="0.25">
      <c r="A84">
        <v>10700102</v>
      </c>
      <c r="B84">
        <v>107001</v>
      </c>
      <c r="C84">
        <v>2</v>
      </c>
      <c r="D84" t="s">
        <v>277</v>
      </c>
      <c r="E84">
        <v>20</v>
      </c>
      <c r="F84" s="47" t="s">
        <v>278</v>
      </c>
      <c r="G84" t="s">
        <v>406</v>
      </c>
      <c r="H84" s="37">
        <v>0</v>
      </c>
      <c r="I84" t="s">
        <v>405</v>
      </c>
      <c r="J84" t="s">
        <v>82</v>
      </c>
    </row>
    <row r="85" spans="1:10" x14ac:dyDescent="0.25">
      <c r="A85">
        <v>10700103</v>
      </c>
      <c r="B85">
        <v>107001</v>
      </c>
      <c r="C85">
        <v>3</v>
      </c>
      <c r="D85" t="s">
        <v>280</v>
      </c>
      <c r="E85">
        <v>30</v>
      </c>
      <c r="F85" s="47" t="s">
        <v>281</v>
      </c>
      <c r="G85" t="s">
        <v>407</v>
      </c>
      <c r="H85" s="37">
        <v>0</v>
      </c>
      <c r="I85" t="s">
        <v>405</v>
      </c>
      <c r="J85" t="s">
        <v>82</v>
      </c>
    </row>
    <row r="86" spans="1:10" x14ac:dyDescent="0.25">
      <c r="A86">
        <v>10700104</v>
      </c>
      <c r="B86">
        <v>107001</v>
      </c>
      <c r="C86">
        <v>4</v>
      </c>
      <c r="D86" t="s">
        <v>283</v>
      </c>
      <c r="E86">
        <v>50</v>
      </c>
      <c r="F86" s="47" t="s">
        <v>284</v>
      </c>
      <c r="G86" t="s">
        <v>408</v>
      </c>
      <c r="H86" s="37">
        <v>0</v>
      </c>
      <c r="I86" t="s">
        <v>405</v>
      </c>
      <c r="J86" t="s">
        <v>82</v>
      </c>
    </row>
    <row r="87" spans="1:10" x14ac:dyDescent="0.25">
      <c r="A87">
        <v>10700105</v>
      </c>
      <c r="B87">
        <v>107001</v>
      </c>
      <c r="C87">
        <v>5</v>
      </c>
      <c r="D87" t="s">
        <v>287</v>
      </c>
      <c r="E87">
        <v>80</v>
      </c>
      <c r="F87" s="47" t="s">
        <v>288</v>
      </c>
      <c r="G87" t="s">
        <v>409</v>
      </c>
      <c r="H87" s="1">
        <v>10700102</v>
      </c>
      <c r="I87" t="s">
        <v>410</v>
      </c>
      <c r="J87" t="s">
        <v>82</v>
      </c>
    </row>
    <row r="88" spans="1:10" x14ac:dyDescent="0.25">
      <c r="A88">
        <v>10700106</v>
      </c>
      <c r="B88">
        <v>107001</v>
      </c>
      <c r="C88">
        <v>6</v>
      </c>
      <c r="D88" t="s">
        <v>290</v>
      </c>
      <c r="E88">
        <v>130</v>
      </c>
      <c r="F88" s="47" t="s">
        <v>291</v>
      </c>
      <c r="G88" t="s">
        <v>411</v>
      </c>
      <c r="H88" s="37">
        <v>0</v>
      </c>
      <c r="I88" t="s">
        <v>410</v>
      </c>
      <c r="J88" t="s">
        <v>82</v>
      </c>
    </row>
    <row r="89" spans="1:10" x14ac:dyDescent="0.25">
      <c r="A89">
        <v>10700107</v>
      </c>
      <c r="B89">
        <v>107001</v>
      </c>
      <c r="C89">
        <v>7</v>
      </c>
      <c r="D89" t="s">
        <v>293</v>
      </c>
      <c r="E89">
        <v>210</v>
      </c>
      <c r="F89" s="47" t="s">
        <v>294</v>
      </c>
      <c r="G89" t="s">
        <v>412</v>
      </c>
      <c r="H89" s="37">
        <v>0</v>
      </c>
      <c r="I89" t="s">
        <v>410</v>
      </c>
      <c r="J89" t="s">
        <v>82</v>
      </c>
    </row>
    <row r="90" spans="1:10" x14ac:dyDescent="0.25">
      <c r="A90">
        <v>10700108</v>
      </c>
      <c r="B90">
        <v>107001</v>
      </c>
      <c r="C90">
        <v>8</v>
      </c>
      <c r="D90" t="s">
        <v>297</v>
      </c>
      <c r="E90">
        <v>340</v>
      </c>
      <c r="F90" s="47" t="s">
        <v>298</v>
      </c>
      <c r="G90" t="s">
        <v>413</v>
      </c>
      <c r="H90" s="37">
        <v>0</v>
      </c>
      <c r="I90" t="s">
        <v>414</v>
      </c>
      <c r="J90" t="s">
        <v>82</v>
      </c>
    </row>
    <row r="91" spans="1:10" x14ac:dyDescent="0.25">
      <c r="A91">
        <v>10700109</v>
      </c>
      <c r="B91">
        <v>107001</v>
      </c>
      <c r="C91">
        <v>9</v>
      </c>
      <c r="D91" t="s">
        <v>300</v>
      </c>
      <c r="E91">
        <v>550</v>
      </c>
      <c r="F91" s="47" t="s">
        <v>301</v>
      </c>
      <c r="G91" t="s">
        <v>415</v>
      </c>
      <c r="H91" s="37">
        <v>0</v>
      </c>
      <c r="I91" t="s">
        <v>414</v>
      </c>
      <c r="J91" t="s">
        <v>82</v>
      </c>
    </row>
    <row r="92" spans="1:10" x14ac:dyDescent="0.25">
      <c r="A92">
        <v>10700110</v>
      </c>
      <c r="B92">
        <v>107001</v>
      </c>
      <c r="C92">
        <v>10</v>
      </c>
      <c r="D92" t="s">
        <v>304</v>
      </c>
      <c r="E92">
        <v>890</v>
      </c>
      <c r="F92" s="47" t="s">
        <v>305</v>
      </c>
      <c r="G92" t="s">
        <v>416</v>
      </c>
      <c r="H92" s="37">
        <v>0</v>
      </c>
      <c r="I92" t="s">
        <v>417</v>
      </c>
      <c r="J92" t="s">
        <v>82</v>
      </c>
    </row>
    <row r="93" spans="1:10" x14ac:dyDescent="0.25">
      <c r="A93">
        <v>10900101</v>
      </c>
      <c r="B93">
        <v>109001</v>
      </c>
      <c r="C93">
        <v>1</v>
      </c>
      <c r="D93" t="s">
        <v>273</v>
      </c>
      <c r="E93">
        <v>0</v>
      </c>
      <c r="F93" s="47" t="s">
        <v>274</v>
      </c>
      <c r="G93" t="s">
        <v>418</v>
      </c>
      <c r="H93" s="1">
        <v>10900101</v>
      </c>
      <c r="I93" t="s">
        <v>405</v>
      </c>
      <c r="J93" t="s">
        <v>87</v>
      </c>
    </row>
    <row r="94" spans="1:10" x14ac:dyDescent="0.25">
      <c r="A94">
        <v>10900102</v>
      </c>
      <c r="B94">
        <v>109001</v>
      </c>
      <c r="C94">
        <v>2</v>
      </c>
      <c r="D94" t="s">
        <v>277</v>
      </c>
      <c r="E94">
        <v>20</v>
      </c>
      <c r="F94" s="47" t="s">
        <v>278</v>
      </c>
      <c r="G94" t="s">
        <v>419</v>
      </c>
      <c r="H94" s="37">
        <v>0</v>
      </c>
      <c r="I94" t="s">
        <v>405</v>
      </c>
      <c r="J94" t="s">
        <v>87</v>
      </c>
    </row>
    <row r="95" spans="1:10" x14ac:dyDescent="0.25">
      <c r="A95">
        <v>10900103</v>
      </c>
      <c r="B95">
        <v>109001</v>
      </c>
      <c r="C95">
        <v>3</v>
      </c>
      <c r="D95" t="s">
        <v>280</v>
      </c>
      <c r="E95">
        <v>30</v>
      </c>
      <c r="F95" s="47" t="s">
        <v>281</v>
      </c>
      <c r="G95" t="s">
        <v>420</v>
      </c>
      <c r="H95" s="37">
        <v>0</v>
      </c>
      <c r="I95" t="s">
        <v>405</v>
      </c>
      <c r="J95" t="s">
        <v>87</v>
      </c>
    </row>
    <row r="96" spans="1:10" x14ac:dyDescent="0.25">
      <c r="A96">
        <v>10900104</v>
      </c>
      <c r="B96">
        <v>109001</v>
      </c>
      <c r="C96">
        <v>4</v>
      </c>
      <c r="D96" t="s">
        <v>283</v>
      </c>
      <c r="E96">
        <v>50</v>
      </c>
      <c r="F96" s="47" t="s">
        <v>284</v>
      </c>
      <c r="G96" t="s">
        <v>421</v>
      </c>
      <c r="H96" s="37">
        <v>0</v>
      </c>
      <c r="I96" t="s">
        <v>405</v>
      </c>
      <c r="J96" t="s">
        <v>87</v>
      </c>
    </row>
    <row r="97" spans="1:10" x14ac:dyDescent="0.25">
      <c r="A97">
        <v>10900105</v>
      </c>
      <c r="B97">
        <v>109001</v>
      </c>
      <c r="C97">
        <v>5</v>
      </c>
      <c r="D97" t="s">
        <v>287</v>
      </c>
      <c r="E97">
        <v>80</v>
      </c>
      <c r="F97" s="47" t="s">
        <v>288</v>
      </c>
      <c r="G97" t="s">
        <v>422</v>
      </c>
      <c r="H97" s="1">
        <v>10900102</v>
      </c>
      <c r="I97" t="s">
        <v>410</v>
      </c>
      <c r="J97" t="s">
        <v>87</v>
      </c>
    </row>
    <row r="98" spans="1:10" x14ac:dyDescent="0.25">
      <c r="A98">
        <v>10900106</v>
      </c>
      <c r="B98">
        <v>109001</v>
      </c>
      <c r="C98">
        <v>6</v>
      </c>
      <c r="D98" t="s">
        <v>290</v>
      </c>
      <c r="E98">
        <v>130</v>
      </c>
      <c r="F98" s="47" t="s">
        <v>291</v>
      </c>
      <c r="G98" t="s">
        <v>423</v>
      </c>
      <c r="H98" s="37">
        <v>0</v>
      </c>
      <c r="I98" t="s">
        <v>410</v>
      </c>
      <c r="J98" t="s">
        <v>87</v>
      </c>
    </row>
    <row r="99" spans="1:10" x14ac:dyDescent="0.25">
      <c r="A99">
        <v>10900107</v>
      </c>
      <c r="B99">
        <v>109001</v>
      </c>
      <c r="C99">
        <v>7</v>
      </c>
      <c r="D99" t="s">
        <v>293</v>
      </c>
      <c r="E99">
        <v>210</v>
      </c>
      <c r="F99" s="47" t="s">
        <v>294</v>
      </c>
      <c r="G99" t="s">
        <v>424</v>
      </c>
      <c r="H99" s="37">
        <v>0</v>
      </c>
      <c r="I99" t="s">
        <v>410</v>
      </c>
      <c r="J99" t="s">
        <v>87</v>
      </c>
    </row>
    <row r="100" spans="1:10" x14ac:dyDescent="0.25">
      <c r="A100">
        <v>10900108</v>
      </c>
      <c r="B100">
        <v>109001</v>
      </c>
      <c r="C100">
        <v>8</v>
      </c>
      <c r="D100" t="s">
        <v>297</v>
      </c>
      <c r="E100">
        <v>340</v>
      </c>
      <c r="F100" s="47" t="s">
        <v>298</v>
      </c>
      <c r="G100" t="s">
        <v>425</v>
      </c>
      <c r="H100" s="37">
        <v>0</v>
      </c>
      <c r="I100" t="s">
        <v>414</v>
      </c>
      <c r="J100" t="s">
        <v>87</v>
      </c>
    </row>
    <row r="101" spans="1:10" x14ac:dyDescent="0.25">
      <c r="A101">
        <v>10900109</v>
      </c>
      <c r="B101">
        <v>109001</v>
      </c>
      <c r="C101">
        <v>9</v>
      </c>
      <c r="D101" t="s">
        <v>300</v>
      </c>
      <c r="E101">
        <v>550</v>
      </c>
      <c r="F101" s="47" t="s">
        <v>301</v>
      </c>
      <c r="G101" t="s">
        <v>426</v>
      </c>
      <c r="H101" s="37">
        <v>0</v>
      </c>
      <c r="I101" t="s">
        <v>414</v>
      </c>
      <c r="J101" t="s">
        <v>87</v>
      </c>
    </row>
    <row r="102" spans="1:10" x14ac:dyDescent="0.25">
      <c r="A102">
        <v>10900110</v>
      </c>
      <c r="B102">
        <v>109001</v>
      </c>
      <c r="C102">
        <v>10</v>
      </c>
      <c r="D102" t="s">
        <v>304</v>
      </c>
      <c r="E102">
        <v>890</v>
      </c>
      <c r="F102" s="47" t="s">
        <v>305</v>
      </c>
      <c r="G102" t="s">
        <v>427</v>
      </c>
      <c r="H102" s="37">
        <v>0</v>
      </c>
      <c r="I102" t="s">
        <v>417</v>
      </c>
      <c r="J102" t="s">
        <v>87</v>
      </c>
    </row>
    <row r="103" spans="1:10" x14ac:dyDescent="0.25">
      <c r="A103">
        <v>11100101</v>
      </c>
      <c r="B103">
        <v>111001</v>
      </c>
      <c r="C103">
        <v>1</v>
      </c>
      <c r="D103" t="s">
        <v>273</v>
      </c>
      <c r="E103">
        <v>0</v>
      </c>
      <c r="F103">
        <v>0</v>
      </c>
      <c r="G103" t="s">
        <v>428</v>
      </c>
      <c r="H103" s="1">
        <v>11100101</v>
      </c>
      <c r="I103">
        <v>0</v>
      </c>
      <c r="J103" s="11" t="s">
        <v>94</v>
      </c>
    </row>
    <row r="104" spans="1:10" x14ac:dyDescent="0.25">
      <c r="A104">
        <v>11100102</v>
      </c>
      <c r="B104">
        <v>111001</v>
      </c>
      <c r="C104">
        <v>2</v>
      </c>
      <c r="D104" t="s">
        <v>277</v>
      </c>
      <c r="E104">
        <v>0</v>
      </c>
      <c r="F104">
        <v>0</v>
      </c>
      <c r="G104" t="s">
        <v>429</v>
      </c>
      <c r="H104">
        <v>0</v>
      </c>
      <c r="I104">
        <v>0</v>
      </c>
      <c r="J104" s="11" t="s">
        <v>94</v>
      </c>
    </row>
    <row r="105" spans="1:10" x14ac:dyDescent="0.25">
      <c r="A105">
        <v>11100103</v>
      </c>
      <c r="B105">
        <v>111001</v>
      </c>
      <c r="C105">
        <v>3</v>
      </c>
      <c r="D105" t="s">
        <v>280</v>
      </c>
      <c r="E105">
        <v>0</v>
      </c>
      <c r="F105">
        <v>0</v>
      </c>
      <c r="G105" t="s">
        <v>430</v>
      </c>
      <c r="H105">
        <v>0</v>
      </c>
      <c r="I105">
        <v>0</v>
      </c>
      <c r="J105" s="11" t="s">
        <v>94</v>
      </c>
    </row>
    <row r="106" spans="1:10" x14ac:dyDescent="0.25">
      <c r="A106">
        <v>11100104</v>
      </c>
      <c r="B106">
        <v>111001</v>
      </c>
      <c r="C106">
        <v>4</v>
      </c>
      <c r="D106" t="s">
        <v>283</v>
      </c>
      <c r="E106">
        <v>0</v>
      </c>
      <c r="F106">
        <v>0</v>
      </c>
      <c r="G106" t="s">
        <v>431</v>
      </c>
      <c r="H106">
        <v>0</v>
      </c>
      <c r="I106">
        <v>0</v>
      </c>
      <c r="J106" s="11" t="s">
        <v>94</v>
      </c>
    </row>
    <row r="107" spans="1:10" x14ac:dyDescent="0.25">
      <c r="A107">
        <v>11100105</v>
      </c>
      <c r="B107">
        <v>111001</v>
      </c>
      <c r="C107">
        <v>5</v>
      </c>
      <c r="D107" t="s">
        <v>287</v>
      </c>
      <c r="E107">
        <v>0</v>
      </c>
      <c r="F107">
        <v>0</v>
      </c>
      <c r="G107" t="s">
        <v>432</v>
      </c>
      <c r="H107">
        <v>0</v>
      </c>
      <c r="I107">
        <v>0</v>
      </c>
      <c r="J107" s="11" t="s">
        <v>94</v>
      </c>
    </row>
    <row r="108" spans="1:10" x14ac:dyDescent="0.25">
      <c r="A108">
        <v>11100106</v>
      </c>
      <c r="B108">
        <v>111001</v>
      </c>
      <c r="C108">
        <v>6</v>
      </c>
      <c r="D108" t="s">
        <v>290</v>
      </c>
      <c r="E108">
        <v>0</v>
      </c>
      <c r="F108">
        <v>0</v>
      </c>
      <c r="G108" t="s">
        <v>433</v>
      </c>
      <c r="H108">
        <v>0</v>
      </c>
      <c r="I108">
        <v>0</v>
      </c>
      <c r="J108" s="11" t="s">
        <v>94</v>
      </c>
    </row>
    <row r="109" spans="1:10" x14ac:dyDescent="0.25">
      <c r="A109">
        <v>11100107</v>
      </c>
      <c r="B109">
        <v>111001</v>
      </c>
      <c r="C109">
        <v>7</v>
      </c>
      <c r="D109" t="s">
        <v>293</v>
      </c>
      <c r="E109">
        <v>0</v>
      </c>
      <c r="F109">
        <v>0</v>
      </c>
      <c r="G109" t="s">
        <v>434</v>
      </c>
      <c r="H109">
        <v>0</v>
      </c>
      <c r="I109">
        <v>0</v>
      </c>
      <c r="J109" s="11" t="s">
        <v>94</v>
      </c>
    </row>
    <row r="110" spans="1:10" x14ac:dyDescent="0.25">
      <c r="A110">
        <v>11100108</v>
      </c>
      <c r="B110">
        <v>111001</v>
      </c>
      <c r="C110">
        <v>8</v>
      </c>
      <c r="D110" t="s">
        <v>297</v>
      </c>
      <c r="E110">
        <v>0</v>
      </c>
      <c r="F110">
        <v>0</v>
      </c>
      <c r="G110" t="s">
        <v>435</v>
      </c>
      <c r="H110">
        <v>0</v>
      </c>
      <c r="I110">
        <v>0</v>
      </c>
      <c r="J110" s="11" t="s">
        <v>94</v>
      </c>
    </row>
    <row r="111" spans="1:10" x14ac:dyDescent="0.25">
      <c r="A111">
        <v>11100109</v>
      </c>
      <c r="B111">
        <v>111001</v>
      </c>
      <c r="C111">
        <v>9</v>
      </c>
      <c r="D111" t="s">
        <v>300</v>
      </c>
      <c r="E111">
        <v>0</v>
      </c>
      <c r="F111">
        <v>0</v>
      </c>
      <c r="G111" t="s">
        <v>436</v>
      </c>
      <c r="H111">
        <v>0</v>
      </c>
      <c r="I111">
        <v>0</v>
      </c>
      <c r="J111" s="11" t="s">
        <v>94</v>
      </c>
    </row>
    <row r="112" spans="1:10" x14ac:dyDescent="0.25">
      <c r="A112">
        <v>11100110</v>
      </c>
      <c r="B112">
        <v>111001</v>
      </c>
      <c r="C112">
        <v>10</v>
      </c>
      <c r="D112" t="s">
        <v>304</v>
      </c>
      <c r="E112">
        <v>0</v>
      </c>
      <c r="F112">
        <v>0</v>
      </c>
      <c r="G112" t="s">
        <v>437</v>
      </c>
      <c r="H112">
        <v>0</v>
      </c>
      <c r="I112">
        <v>0</v>
      </c>
      <c r="J112" s="11" t="s">
        <v>94</v>
      </c>
    </row>
    <row r="113" spans="1:10" x14ac:dyDescent="0.25">
      <c r="A113">
        <v>20000101</v>
      </c>
      <c r="B113">
        <v>200001</v>
      </c>
      <c r="C113">
        <v>1</v>
      </c>
      <c r="D113" t="s">
        <v>273</v>
      </c>
      <c r="E113">
        <v>0</v>
      </c>
      <c r="F113" s="47" t="s">
        <v>274</v>
      </c>
      <c r="G113" t="s">
        <v>438</v>
      </c>
      <c r="H113" s="1">
        <v>20000101</v>
      </c>
      <c r="I113" t="s">
        <v>439</v>
      </c>
      <c r="J113" s="11" t="s">
        <v>98</v>
      </c>
    </row>
    <row r="114" spans="1:10" x14ac:dyDescent="0.25">
      <c r="A114">
        <v>20000102</v>
      </c>
      <c r="B114">
        <v>200001</v>
      </c>
      <c r="C114">
        <v>2</v>
      </c>
      <c r="D114" t="s">
        <v>277</v>
      </c>
      <c r="E114">
        <v>20</v>
      </c>
      <c r="F114" s="47" t="s">
        <v>278</v>
      </c>
      <c r="G114" t="s">
        <v>440</v>
      </c>
      <c r="H114" s="37">
        <v>0</v>
      </c>
      <c r="I114" t="s">
        <v>439</v>
      </c>
      <c r="J114" s="11" t="s">
        <v>98</v>
      </c>
    </row>
    <row r="115" spans="1:10" x14ac:dyDescent="0.25">
      <c r="A115">
        <v>20000103</v>
      </c>
      <c r="B115">
        <v>200001</v>
      </c>
      <c r="C115">
        <v>3</v>
      </c>
      <c r="D115" t="s">
        <v>280</v>
      </c>
      <c r="E115">
        <v>30</v>
      </c>
      <c r="F115" s="47" t="s">
        <v>281</v>
      </c>
      <c r="G115" t="s">
        <v>441</v>
      </c>
      <c r="H115" s="37">
        <v>0</v>
      </c>
      <c r="I115" t="s">
        <v>439</v>
      </c>
      <c r="J115" s="11" t="s">
        <v>98</v>
      </c>
    </row>
    <row r="116" spans="1:10" x14ac:dyDescent="0.25">
      <c r="A116">
        <v>20000104</v>
      </c>
      <c r="B116">
        <v>200001</v>
      </c>
      <c r="C116">
        <v>4</v>
      </c>
      <c r="D116" t="s">
        <v>283</v>
      </c>
      <c r="E116">
        <v>50</v>
      </c>
      <c r="F116" s="47" t="s">
        <v>284</v>
      </c>
      <c r="G116" t="s">
        <v>442</v>
      </c>
      <c r="H116" s="37">
        <v>0</v>
      </c>
      <c r="I116" t="s">
        <v>439</v>
      </c>
      <c r="J116" s="11" t="s">
        <v>98</v>
      </c>
    </row>
    <row r="117" spans="1:10" x14ac:dyDescent="0.25">
      <c r="A117">
        <v>20000105</v>
      </c>
      <c r="B117">
        <v>200001</v>
      </c>
      <c r="C117">
        <v>5</v>
      </c>
      <c r="D117" t="s">
        <v>287</v>
      </c>
      <c r="E117">
        <v>80</v>
      </c>
      <c r="F117" s="47" t="s">
        <v>288</v>
      </c>
      <c r="G117" t="s">
        <v>443</v>
      </c>
      <c r="H117" s="37">
        <v>0</v>
      </c>
      <c r="I117" t="s">
        <v>444</v>
      </c>
      <c r="J117" s="11" t="s">
        <v>98</v>
      </c>
    </row>
    <row r="118" spans="1:10" x14ac:dyDescent="0.25">
      <c r="A118">
        <v>20000106</v>
      </c>
      <c r="B118">
        <v>200001</v>
      </c>
      <c r="C118">
        <v>6</v>
      </c>
      <c r="D118" t="s">
        <v>290</v>
      </c>
      <c r="E118">
        <v>130</v>
      </c>
      <c r="F118" s="47" t="s">
        <v>291</v>
      </c>
      <c r="G118" t="s">
        <v>445</v>
      </c>
      <c r="H118" s="1">
        <v>20000102</v>
      </c>
      <c r="I118" t="s">
        <v>444</v>
      </c>
      <c r="J118" s="11" t="s">
        <v>98</v>
      </c>
    </row>
    <row r="119" spans="1:10" x14ac:dyDescent="0.25">
      <c r="A119">
        <v>20000107</v>
      </c>
      <c r="B119">
        <v>200001</v>
      </c>
      <c r="C119">
        <v>7</v>
      </c>
      <c r="D119" t="s">
        <v>293</v>
      </c>
      <c r="E119">
        <v>210</v>
      </c>
      <c r="F119" s="47" t="s">
        <v>294</v>
      </c>
      <c r="G119" t="s">
        <v>446</v>
      </c>
      <c r="H119" s="37">
        <v>0</v>
      </c>
      <c r="I119" t="s">
        <v>444</v>
      </c>
      <c r="J119" s="11" t="s">
        <v>98</v>
      </c>
    </row>
    <row r="120" spans="1:10" x14ac:dyDescent="0.25">
      <c r="A120">
        <v>20000108</v>
      </c>
      <c r="B120">
        <v>200001</v>
      </c>
      <c r="C120">
        <v>8</v>
      </c>
      <c r="D120" t="s">
        <v>297</v>
      </c>
      <c r="E120">
        <v>340</v>
      </c>
      <c r="F120" s="47" t="s">
        <v>298</v>
      </c>
      <c r="G120" t="s">
        <v>447</v>
      </c>
      <c r="H120" s="37">
        <v>0</v>
      </c>
      <c r="I120" t="s">
        <v>448</v>
      </c>
      <c r="J120" s="11" t="s">
        <v>98</v>
      </c>
    </row>
    <row r="121" spans="1:10" x14ac:dyDescent="0.25">
      <c r="A121">
        <v>20000109</v>
      </c>
      <c r="B121">
        <v>200001</v>
      </c>
      <c r="C121">
        <v>9</v>
      </c>
      <c r="D121" t="s">
        <v>300</v>
      </c>
      <c r="E121">
        <v>550</v>
      </c>
      <c r="F121" s="47" t="s">
        <v>301</v>
      </c>
      <c r="G121" t="s">
        <v>449</v>
      </c>
      <c r="H121" s="37">
        <v>0</v>
      </c>
      <c r="I121" t="s">
        <v>448</v>
      </c>
      <c r="J121" s="11" t="s">
        <v>98</v>
      </c>
    </row>
    <row r="122" spans="1:10" x14ac:dyDescent="0.25">
      <c r="A122">
        <v>20000110</v>
      </c>
      <c r="B122">
        <v>200001</v>
      </c>
      <c r="C122">
        <v>10</v>
      </c>
      <c r="D122" t="s">
        <v>304</v>
      </c>
      <c r="E122">
        <v>890</v>
      </c>
      <c r="F122" s="47" t="s">
        <v>305</v>
      </c>
      <c r="G122" t="s">
        <v>450</v>
      </c>
      <c r="H122" s="37">
        <v>0</v>
      </c>
      <c r="I122" t="s">
        <v>451</v>
      </c>
      <c r="J122" s="11" t="s">
        <v>98</v>
      </c>
    </row>
    <row r="123" spans="1:10" x14ac:dyDescent="0.25">
      <c r="A123">
        <v>20000201</v>
      </c>
      <c r="B123">
        <v>200002</v>
      </c>
      <c r="C123">
        <v>1</v>
      </c>
      <c r="D123" t="s">
        <v>273</v>
      </c>
      <c r="E123">
        <v>0</v>
      </c>
      <c r="F123" s="47" t="s">
        <v>274</v>
      </c>
      <c r="G123" t="s">
        <v>452</v>
      </c>
      <c r="H123" s="37">
        <v>0</v>
      </c>
      <c r="I123" t="s">
        <v>153</v>
      </c>
      <c r="J123" t="s">
        <v>105</v>
      </c>
    </row>
    <row r="124" spans="1:10" x14ac:dyDescent="0.25">
      <c r="A124">
        <v>20000202</v>
      </c>
      <c r="B124">
        <v>200002</v>
      </c>
      <c r="C124">
        <v>2</v>
      </c>
      <c r="D124" t="s">
        <v>277</v>
      </c>
      <c r="E124">
        <v>500</v>
      </c>
      <c r="F124" s="47" t="s">
        <v>355</v>
      </c>
      <c r="G124" t="s">
        <v>453</v>
      </c>
      <c r="H124" s="37">
        <v>0</v>
      </c>
      <c r="I124" t="s">
        <v>153</v>
      </c>
      <c r="J124" t="s">
        <v>105</v>
      </c>
    </row>
    <row r="125" spans="1:10" x14ac:dyDescent="0.25">
      <c r="A125">
        <v>20000203</v>
      </c>
      <c r="B125">
        <v>200002</v>
      </c>
      <c r="C125">
        <v>3</v>
      </c>
      <c r="D125" t="s">
        <v>280</v>
      </c>
      <c r="E125">
        <v>1000</v>
      </c>
      <c r="F125" s="47" t="s">
        <v>357</v>
      </c>
      <c r="G125" t="s">
        <v>454</v>
      </c>
      <c r="H125" s="37">
        <v>0</v>
      </c>
      <c r="I125" t="s">
        <v>455</v>
      </c>
      <c r="J125" t="s">
        <v>105</v>
      </c>
    </row>
    <row r="126" spans="1:10" x14ac:dyDescent="0.25">
      <c r="A126">
        <v>20000204</v>
      </c>
      <c r="B126">
        <v>200002</v>
      </c>
      <c r="C126">
        <v>4</v>
      </c>
      <c r="D126" t="s">
        <v>283</v>
      </c>
      <c r="E126">
        <v>1500</v>
      </c>
      <c r="F126" s="47" t="s">
        <v>341</v>
      </c>
      <c r="G126" t="s">
        <v>456</v>
      </c>
      <c r="H126" s="37">
        <v>0</v>
      </c>
      <c r="I126" t="s">
        <v>455</v>
      </c>
      <c r="J126" t="s">
        <v>105</v>
      </c>
    </row>
    <row r="127" spans="1:10" x14ac:dyDescent="0.25">
      <c r="A127">
        <v>20000205</v>
      </c>
      <c r="B127">
        <v>200002</v>
      </c>
      <c r="C127">
        <v>5</v>
      </c>
      <c r="D127" t="s">
        <v>287</v>
      </c>
      <c r="E127">
        <v>2500</v>
      </c>
      <c r="F127" s="47" t="s">
        <v>346</v>
      </c>
      <c r="G127" t="s">
        <v>457</v>
      </c>
      <c r="H127" s="37">
        <v>0</v>
      </c>
      <c r="I127" t="s">
        <v>455</v>
      </c>
      <c r="J127" t="s">
        <v>105</v>
      </c>
    </row>
    <row r="128" spans="1:10" x14ac:dyDescent="0.25">
      <c r="A128">
        <v>20000206</v>
      </c>
      <c r="B128">
        <v>200002</v>
      </c>
      <c r="C128">
        <v>6</v>
      </c>
      <c r="D128" t="s">
        <v>290</v>
      </c>
      <c r="E128">
        <v>4000</v>
      </c>
      <c r="F128" s="47" t="s">
        <v>361</v>
      </c>
      <c r="G128" t="s">
        <v>458</v>
      </c>
      <c r="H128" s="37">
        <v>0</v>
      </c>
      <c r="I128" t="s">
        <v>459</v>
      </c>
      <c r="J128" t="s">
        <v>105</v>
      </c>
    </row>
    <row r="129" spans="1:10" x14ac:dyDescent="0.25">
      <c r="A129">
        <v>20000207</v>
      </c>
      <c r="B129">
        <v>200002</v>
      </c>
      <c r="C129">
        <v>7</v>
      </c>
      <c r="D129" t="s">
        <v>293</v>
      </c>
      <c r="E129">
        <v>6500</v>
      </c>
      <c r="F129" s="47" t="s">
        <v>364</v>
      </c>
      <c r="G129" t="s">
        <v>460</v>
      </c>
      <c r="H129" s="37">
        <v>0</v>
      </c>
      <c r="I129" t="s">
        <v>459</v>
      </c>
      <c r="J129" t="s">
        <v>105</v>
      </c>
    </row>
    <row r="130" spans="1:10" x14ac:dyDescent="0.25">
      <c r="A130">
        <v>20000208</v>
      </c>
      <c r="B130">
        <v>200002</v>
      </c>
      <c r="C130">
        <v>8</v>
      </c>
      <c r="D130" t="s">
        <v>297</v>
      </c>
      <c r="E130">
        <v>9000</v>
      </c>
      <c r="F130" s="47" t="s">
        <v>366</v>
      </c>
      <c r="G130" t="s">
        <v>461</v>
      </c>
      <c r="H130" s="37">
        <v>0</v>
      </c>
      <c r="I130" t="s">
        <v>462</v>
      </c>
      <c r="J130" t="s">
        <v>105</v>
      </c>
    </row>
    <row r="131" spans="1:10" x14ac:dyDescent="0.25">
      <c r="A131">
        <v>20000209</v>
      </c>
      <c r="B131">
        <v>200002</v>
      </c>
      <c r="C131">
        <v>9</v>
      </c>
      <c r="D131" t="s">
        <v>300</v>
      </c>
      <c r="E131">
        <v>12000</v>
      </c>
      <c r="F131" s="47" t="s">
        <v>369</v>
      </c>
      <c r="G131" t="s">
        <v>463</v>
      </c>
      <c r="H131" s="37">
        <v>0</v>
      </c>
      <c r="I131" t="s">
        <v>462</v>
      </c>
      <c r="J131" t="s">
        <v>105</v>
      </c>
    </row>
    <row r="132" spans="1:10" x14ac:dyDescent="0.25">
      <c r="A132">
        <v>20000210</v>
      </c>
      <c r="B132">
        <v>200002</v>
      </c>
      <c r="C132">
        <v>10</v>
      </c>
      <c r="D132" t="s">
        <v>304</v>
      </c>
      <c r="E132">
        <v>15000</v>
      </c>
      <c r="F132" s="47" t="s">
        <v>371</v>
      </c>
      <c r="G132" t="s">
        <v>464</v>
      </c>
      <c r="H132" s="37">
        <v>0</v>
      </c>
      <c r="I132" t="s">
        <v>462</v>
      </c>
      <c r="J132" t="s">
        <v>105</v>
      </c>
    </row>
    <row r="133" spans="1:10" x14ac:dyDescent="0.25">
      <c r="A133" s="50">
        <v>10600601</v>
      </c>
      <c r="B133" s="50">
        <v>106006</v>
      </c>
      <c r="C133">
        <v>1</v>
      </c>
      <c r="D133" t="s">
        <v>273</v>
      </c>
      <c r="E133">
        <v>0</v>
      </c>
      <c r="F133" s="47" t="s">
        <v>274</v>
      </c>
      <c r="G133" t="s">
        <v>465</v>
      </c>
      <c r="H133" s="50">
        <v>10600601</v>
      </c>
      <c r="I133" t="s">
        <v>414</v>
      </c>
      <c r="J133" t="s">
        <v>113</v>
      </c>
    </row>
    <row r="134" spans="1:10" x14ac:dyDescent="0.25">
      <c r="A134" s="50">
        <v>10600602</v>
      </c>
      <c r="B134" s="50">
        <v>106006</v>
      </c>
      <c r="C134">
        <v>2</v>
      </c>
      <c r="D134" t="s">
        <v>277</v>
      </c>
      <c r="E134">
        <v>50</v>
      </c>
      <c r="F134" s="47" t="s">
        <v>333</v>
      </c>
      <c r="G134" t="s">
        <v>466</v>
      </c>
      <c r="H134" s="37">
        <v>0</v>
      </c>
      <c r="I134" t="s">
        <v>414</v>
      </c>
      <c r="J134" t="s">
        <v>113</v>
      </c>
    </row>
    <row r="135" spans="1:10" x14ac:dyDescent="0.25">
      <c r="A135" s="50">
        <v>10600603</v>
      </c>
      <c r="B135" s="50">
        <v>106006</v>
      </c>
      <c r="C135">
        <v>3</v>
      </c>
      <c r="D135" t="s">
        <v>280</v>
      </c>
      <c r="E135">
        <v>100</v>
      </c>
      <c r="F135" s="47" t="s">
        <v>335</v>
      </c>
      <c r="G135" t="s">
        <v>467</v>
      </c>
      <c r="H135" s="37">
        <v>0</v>
      </c>
      <c r="I135" t="s">
        <v>417</v>
      </c>
      <c r="J135" t="s">
        <v>113</v>
      </c>
    </row>
    <row r="136" spans="1:10" x14ac:dyDescent="0.25">
      <c r="A136" s="50">
        <v>10600604</v>
      </c>
      <c r="B136" s="50">
        <v>106006</v>
      </c>
      <c r="C136">
        <v>4</v>
      </c>
      <c r="D136" t="s">
        <v>283</v>
      </c>
      <c r="E136">
        <v>150</v>
      </c>
      <c r="F136" s="47" t="s">
        <v>337</v>
      </c>
      <c r="G136" t="s">
        <v>468</v>
      </c>
      <c r="H136" s="50">
        <v>10600602</v>
      </c>
      <c r="I136" t="s">
        <v>417</v>
      </c>
      <c r="J136" t="s">
        <v>113</v>
      </c>
    </row>
    <row r="137" spans="1:10" x14ac:dyDescent="0.25">
      <c r="A137" s="50">
        <v>10600605</v>
      </c>
      <c r="B137" s="50">
        <v>106006</v>
      </c>
      <c r="C137">
        <v>5</v>
      </c>
      <c r="D137" t="s">
        <v>287</v>
      </c>
      <c r="E137">
        <v>250</v>
      </c>
      <c r="F137" s="47" t="s">
        <v>339</v>
      </c>
      <c r="G137" t="s">
        <v>469</v>
      </c>
      <c r="H137" s="37">
        <v>0</v>
      </c>
      <c r="I137" t="s">
        <v>417</v>
      </c>
      <c r="J137" t="s">
        <v>113</v>
      </c>
    </row>
    <row r="138" spans="1:10" x14ac:dyDescent="0.25">
      <c r="A138" s="50">
        <v>10600606</v>
      </c>
      <c r="B138" s="50">
        <v>106006</v>
      </c>
      <c r="C138">
        <v>6</v>
      </c>
      <c r="D138" t="s">
        <v>290</v>
      </c>
      <c r="E138">
        <v>400</v>
      </c>
      <c r="F138" s="47" t="s">
        <v>341</v>
      </c>
      <c r="G138" t="s">
        <v>470</v>
      </c>
      <c r="H138" s="37">
        <v>0</v>
      </c>
      <c r="I138" t="s">
        <v>417</v>
      </c>
      <c r="J138" t="s">
        <v>113</v>
      </c>
    </row>
    <row r="139" spans="1:10" x14ac:dyDescent="0.25">
      <c r="A139" s="50">
        <v>10600607</v>
      </c>
      <c r="B139" s="50">
        <v>106006</v>
      </c>
      <c r="C139">
        <v>7</v>
      </c>
      <c r="D139" t="s">
        <v>293</v>
      </c>
      <c r="E139">
        <v>650</v>
      </c>
      <c r="F139" s="47" t="s">
        <v>343</v>
      </c>
      <c r="G139" t="s">
        <v>471</v>
      </c>
      <c r="H139" s="37">
        <v>0</v>
      </c>
      <c r="I139" t="s">
        <v>472</v>
      </c>
      <c r="J139" t="s">
        <v>113</v>
      </c>
    </row>
    <row r="140" spans="1:10" x14ac:dyDescent="0.25">
      <c r="A140" s="50">
        <v>10600608</v>
      </c>
      <c r="B140" s="50">
        <v>106006</v>
      </c>
      <c r="C140">
        <v>8</v>
      </c>
      <c r="D140" t="s">
        <v>297</v>
      </c>
      <c r="E140">
        <v>900</v>
      </c>
      <c r="F140" s="47" t="s">
        <v>346</v>
      </c>
      <c r="G140" t="s">
        <v>473</v>
      </c>
      <c r="H140" s="50">
        <v>10600603</v>
      </c>
      <c r="I140" t="s">
        <v>472</v>
      </c>
      <c r="J140" t="s">
        <v>113</v>
      </c>
    </row>
    <row r="141" spans="1:10" x14ac:dyDescent="0.25">
      <c r="A141" s="50">
        <v>10600609</v>
      </c>
      <c r="B141" s="50">
        <v>106006</v>
      </c>
      <c r="C141">
        <v>9</v>
      </c>
      <c r="D141" t="s">
        <v>300</v>
      </c>
      <c r="E141">
        <v>1200</v>
      </c>
      <c r="F141" s="47" t="s">
        <v>348</v>
      </c>
      <c r="G141" t="s">
        <v>474</v>
      </c>
      <c r="H141" s="37">
        <v>0</v>
      </c>
      <c r="I141" t="s">
        <v>475</v>
      </c>
      <c r="J141" t="s">
        <v>113</v>
      </c>
    </row>
    <row r="142" spans="1:10" x14ac:dyDescent="0.25">
      <c r="A142" s="50">
        <v>10600610</v>
      </c>
      <c r="B142" s="50">
        <v>106006</v>
      </c>
      <c r="C142">
        <v>10</v>
      </c>
      <c r="D142" t="s">
        <v>304</v>
      </c>
      <c r="E142">
        <v>1500</v>
      </c>
      <c r="F142" s="47" t="s">
        <v>351</v>
      </c>
      <c r="G142" t="s">
        <v>476</v>
      </c>
      <c r="H142" s="37">
        <v>0</v>
      </c>
      <c r="I142" t="s">
        <v>477</v>
      </c>
      <c r="J142" t="s">
        <v>113</v>
      </c>
    </row>
    <row r="143" spans="1:10" x14ac:dyDescent="0.25">
      <c r="A143" s="50">
        <v>30000101</v>
      </c>
      <c r="B143" s="51">
        <v>300001</v>
      </c>
      <c r="C143">
        <v>1</v>
      </c>
      <c r="D143" t="s">
        <v>273</v>
      </c>
      <c r="E143">
        <v>0</v>
      </c>
      <c r="F143" s="47" t="s">
        <v>274</v>
      </c>
      <c r="G143" t="s">
        <v>478</v>
      </c>
      <c r="H143" s="50">
        <v>30000101</v>
      </c>
      <c r="I143" t="s">
        <v>479</v>
      </c>
      <c r="J143" s="53" t="s">
        <v>120</v>
      </c>
    </row>
    <row r="144" spans="1:10" x14ac:dyDescent="0.25">
      <c r="A144" s="50">
        <v>30000102</v>
      </c>
      <c r="B144" s="51">
        <v>300001</v>
      </c>
      <c r="C144">
        <v>2</v>
      </c>
      <c r="D144" t="s">
        <v>277</v>
      </c>
      <c r="E144">
        <v>20</v>
      </c>
      <c r="F144" s="47" t="s">
        <v>278</v>
      </c>
      <c r="G144" t="s">
        <v>480</v>
      </c>
      <c r="H144" s="37">
        <v>0</v>
      </c>
      <c r="I144" t="s">
        <v>479</v>
      </c>
      <c r="J144" s="53" t="s">
        <v>120</v>
      </c>
    </row>
    <row r="145" spans="1:10" x14ac:dyDescent="0.25">
      <c r="A145" s="50">
        <v>30000103</v>
      </c>
      <c r="B145" s="51">
        <v>300001</v>
      </c>
      <c r="C145">
        <v>3</v>
      </c>
      <c r="D145" t="s">
        <v>280</v>
      </c>
      <c r="E145">
        <v>30</v>
      </c>
      <c r="F145" s="47" t="s">
        <v>281</v>
      </c>
      <c r="G145" t="s">
        <v>481</v>
      </c>
      <c r="H145" s="37">
        <v>0</v>
      </c>
      <c r="I145" t="s">
        <v>479</v>
      </c>
      <c r="J145" s="53" t="s">
        <v>120</v>
      </c>
    </row>
    <row r="146" spans="1:10" x14ac:dyDescent="0.25">
      <c r="A146" s="50">
        <v>30000104</v>
      </c>
      <c r="B146" s="51">
        <v>300001</v>
      </c>
      <c r="C146">
        <v>4</v>
      </c>
      <c r="D146" t="s">
        <v>283</v>
      </c>
      <c r="E146">
        <v>50</v>
      </c>
      <c r="F146" s="47" t="s">
        <v>284</v>
      </c>
      <c r="G146" t="s">
        <v>482</v>
      </c>
      <c r="H146" s="37">
        <v>0</v>
      </c>
      <c r="I146" t="s">
        <v>479</v>
      </c>
      <c r="J146" s="53" t="s">
        <v>120</v>
      </c>
    </row>
    <row r="147" spans="1:10" x14ac:dyDescent="0.25">
      <c r="A147" s="50">
        <v>30000105</v>
      </c>
      <c r="B147" s="51">
        <v>300001</v>
      </c>
      <c r="C147">
        <v>5</v>
      </c>
      <c r="D147" t="s">
        <v>287</v>
      </c>
      <c r="E147">
        <v>80</v>
      </c>
      <c r="F147" s="47" t="s">
        <v>288</v>
      </c>
      <c r="G147" t="s">
        <v>483</v>
      </c>
      <c r="H147" s="50">
        <v>30000102</v>
      </c>
      <c r="I147" t="s">
        <v>484</v>
      </c>
      <c r="J147" s="53" t="s">
        <v>120</v>
      </c>
    </row>
    <row r="148" spans="1:10" x14ac:dyDescent="0.25">
      <c r="A148" s="50">
        <v>30000106</v>
      </c>
      <c r="B148" s="51">
        <v>300001</v>
      </c>
      <c r="C148">
        <v>6</v>
      </c>
      <c r="D148" t="s">
        <v>290</v>
      </c>
      <c r="E148">
        <v>130</v>
      </c>
      <c r="F148" s="47" t="s">
        <v>291</v>
      </c>
      <c r="G148" t="s">
        <v>485</v>
      </c>
      <c r="H148" s="37">
        <v>0</v>
      </c>
      <c r="I148" t="s">
        <v>484</v>
      </c>
      <c r="J148" s="53" t="s">
        <v>120</v>
      </c>
    </row>
    <row r="149" spans="1:10" x14ac:dyDescent="0.25">
      <c r="A149" s="50">
        <v>30000107</v>
      </c>
      <c r="B149" s="51">
        <v>300001</v>
      </c>
      <c r="C149">
        <v>7</v>
      </c>
      <c r="D149" t="s">
        <v>293</v>
      </c>
      <c r="E149">
        <v>210</v>
      </c>
      <c r="F149" s="47" t="s">
        <v>294</v>
      </c>
      <c r="G149" t="s">
        <v>486</v>
      </c>
      <c r="H149" s="37">
        <v>0</v>
      </c>
      <c r="I149" t="s">
        <v>484</v>
      </c>
      <c r="J149" s="53" t="s">
        <v>120</v>
      </c>
    </row>
    <row r="150" spans="1:10" x14ac:dyDescent="0.25">
      <c r="A150" s="50">
        <v>30000108</v>
      </c>
      <c r="B150" s="51">
        <v>300001</v>
      </c>
      <c r="C150">
        <v>8</v>
      </c>
      <c r="D150" t="s">
        <v>297</v>
      </c>
      <c r="E150">
        <v>340</v>
      </c>
      <c r="F150" s="47" t="s">
        <v>298</v>
      </c>
      <c r="G150" t="s">
        <v>487</v>
      </c>
      <c r="H150" s="37">
        <v>0</v>
      </c>
      <c r="I150" t="s">
        <v>488</v>
      </c>
      <c r="J150" s="53" t="s">
        <v>120</v>
      </c>
    </row>
    <row r="151" spans="1:10" x14ac:dyDescent="0.25">
      <c r="A151" s="50">
        <v>30000109</v>
      </c>
      <c r="B151" s="51">
        <v>300001</v>
      </c>
      <c r="C151">
        <v>9</v>
      </c>
      <c r="D151" t="s">
        <v>300</v>
      </c>
      <c r="E151">
        <v>550</v>
      </c>
      <c r="F151" s="47" t="s">
        <v>301</v>
      </c>
      <c r="G151" t="s">
        <v>489</v>
      </c>
      <c r="H151" s="37">
        <v>0</v>
      </c>
      <c r="I151" t="s">
        <v>488</v>
      </c>
      <c r="J151" s="53" t="s">
        <v>120</v>
      </c>
    </row>
    <row r="152" spans="1:10" x14ac:dyDescent="0.25">
      <c r="A152" s="50">
        <v>30000110</v>
      </c>
      <c r="B152" s="51">
        <v>300001</v>
      </c>
      <c r="C152">
        <v>10</v>
      </c>
      <c r="D152" t="s">
        <v>304</v>
      </c>
      <c r="E152">
        <v>890</v>
      </c>
      <c r="F152" s="47" t="s">
        <v>305</v>
      </c>
      <c r="G152" t="s">
        <v>490</v>
      </c>
      <c r="H152" s="37">
        <v>0</v>
      </c>
      <c r="I152" t="s">
        <v>491</v>
      </c>
      <c r="J152" s="53" t="s">
        <v>120</v>
      </c>
    </row>
    <row r="153" spans="1:10" x14ac:dyDescent="0.25">
      <c r="A153" s="50">
        <v>10100301</v>
      </c>
      <c r="B153" s="50">
        <v>101003</v>
      </c>
      <c r="C153">
        <v>1</v>
      </c>
      <c r="D153" t="s">
        <v>273</v>
      </c>
      <c r="E153">
        <v>0</v>
      </c>
      <c r="F153" s="47" t="s">
        <v>274</v>
      </c>
      <c r="G153" t="s">
        <v>492</v>
      </c>
      <c r="H153" s="50">
        <v>10100301</v>
      </c>
      <c r="I153" t="s">
        <v>303</v>
      </c>
      <c r="J153" t="s">
        <v>126</v>
      </c>
    </row>
    <row r="154" spans="1:10" x14ac:dyDescent="0.25">
      <c r="A154" s="50">
        <v>10100302</v>
      </c>
      <c r="B154" s="50">
        <v>101003</v>
      </c>
      <c r="C154">
        <v>2</v>
      </c>
      <c r="D154" t="s">
        <v>277</v>
      </c>
      <c r="E154">
        <v>50</v>
      </c>
      <c r="F154" s="47" t="s">
        <v>333</v>
      </c>
      <c r="G154" t="s">
        <v>493</v>
      </c>
      <c r="H154" s="37">
        <v>0</v>
      </c>
      <c r="I154" t="s">
        <v>303</v>
      </c>
      <c r="J154" t="s">
        <v>126</v>
      </c>
    </row>
    <row r="155" spans="1:10" x14ac:dyDescent="0.25">
      <c r="A155" s="50">
        <v>10100303</v>
      </c>
      <c r="B155" s="50">
        <v>101003</v>
      </c>
      <c r="C155">
        <v>3</v>
      </c>
      <c r="D155" t="s">
        <v>280</v>
      </c>
      <c r="E155">
        <v>100</v>
      </c>
      <c r="F155" s="47" t="s">
        <v>335</v>
      </c>
      <c r="G155" t="s">
        <v>494</v>
      </c>
      <c r="H155" s="37">
        <v>0</v>
      </c>
      <c r="I155" t="s">
        <v>38</v>
      </c>
      <c r="J155" t="s">
        <v>126</v>
      </c>
    </row>
    <row r="156" spans="1:10" x14ac:dyDescent="0.25">
      <c r="A156" s="50">
        <v>10100304</v>
      </c>
      <c r="B156" s="50">
        <v>101003</v>
      </c>
      <c r="C156">
        <v>4</v>
      </c>
      <c r="D156" t="s">
        <v>283</v>
      </c>
      <c r="E156">
        <v>150</v>
      </c>
      <c r="F156" s="47" t="s">
        <v>337</v>
      </c>
      <c r="G156" t="s">
        <v>495</v>
      </c>
      <c r="H156" s="50">
        <v>10100302</v>
      </c>
      <c r="I156" t="s">
        <v>38</v>
      </c>
      <c r="J156" t="s">
        <v>126</v>
      </c>
    </row>
    <row r="157" spans="1:10" x14ac:dyDescent="0.25">
      <c r="A157" s="50">
        <v>10100305</v>
      </c>
      <c r="B157" s="50">
        <v>101003</v>
      </c>
      <c r="C157">
        <v>5</v>
      </c>
      <c r="D157" t="s">
        <v>287</v>
      </c>
      <c r="E157">
        <v>250</v>
      </c>
      <c r="F157" s="47" t="s">
        <v>339</v>
      </c>
      <c r="G157" t="s">
        <v>496</v>
      </c>
      <c r="H157" s="37">
        <v>0</v>
      </c>
      <c r="I157" t="s">
        <v>38</v>
      </c>
      <c r="J157" t="s">
        <v>126</v>
      </c>
    </row>
    <row r="158" spans="1:10" x14ac:dyDescent="0.25">
      <c r="A158" s="50">
        <v>10100306</v>
      </c>
      <c r="B158" s="50">
        <v>101003</v>
      </c>
      <c r="C158">
        <v>6</v>
      </c>
      <c r="D158" t="s">
        <v>290</v>
      </c>
      <c r="E158">
        <v>400</v>
      </c>
      <c r="F158" s="47" t="s">
        <v>341</v>
      </c>
      <c r="G158" t="s">
        <v>497</v>
      </c>
      <c r="H158" s="37">
        <v>0</v>
      </c>
      <c r="I158" t="s">
        <v>38</v>
      </c>
      <c r="J158" t="s">
        <v>126</v>
      </c>
    </row>
    <row r="159" spans="1:10" x14ac:dyDescent="0.25">
      <c r="A159" s="50">
        <v>10100307</v>
      </c>
      <c r="B159" s="50">
        <v>101003</v>
      </c>
      <c r="C159">
        <v>7</v>
      </c>
      <c r="D159" t="s">
        <v>293</v>
      </c>
      <c r="E159">
        <v>650</v>
      </c>
      <c r="F159" s="47" t="s">
        <v>343</v>
      </c>
      <c r="G159" t="s">
        <v>498</v>
      </c>
      <c r="H159" s="37">
        <v>0</v>
      </c>
      <c r="I159" t="s">
        <v>499</v>
      </c>
      <c r="J159" t="s">
        <v>126</v>
      </c>
    </row>
    <row r="160" spans="1:10" x14ac:dyDescent="0.25">
      <c r="A160" s="50">
        <v>10100308</v>
      </c>
      <c r="B160" s="50">
        <v>101003</v>
      </c>
      <c r="C160">
        <v>8</v>
      </c>
      <c r="D160" t="s">
        <v>297</v>
      </c>
      <c r="E160">
        <v>900</v>
      </c>
      <c r="F160" s="47" t="s">
        <v>346</v>
      </c>
      <c r="G160" t="s">
        <v>347</v>
      </c>
      <c r="H160" s="50">
        <v>10100303</v>
      </c>
      <c r="I160" t="s">
        <v>499</v>
      </c>
      <c r="J160" t="s">
        <v>126</v>
      </c>
    </row>
    <row r="161" spans="1:10" x14ac:dyDescent="0.25">
      <c r="A161" s="50">
        <v>10100309</v>
      </c>
      <c r="B161" s="50">
        <v>101003</v>
      </c>
      <c r="C161">
        <v>9</v>
      </c>
      <c r="D161" t="s">
        <v>300</v>
      </c>
      <c r="E161">
        <v>1200</v>
      </c>
      <c r="F161" s="47" t="s">
        <v>348</v>
      </c>
      <c r="G161" t="s">
        <v>500</v>
      </c>
      <c r="H161" s="37">
        <v>0</v>
      </c>
      <c r="I161" t="s">
        <v>501</v>
      </c>
      <c r="J161" t="s">
        <v>126</v>
      </c>
    </row>
    <row r="162" spans="1:10" x14ac:dyDescent="0.25">
      <c r="A162" s="50">
        <v>10100310</v>
      </c>
      <c r="B162" s="50">
        <v>101003</v>
      </c>
      <c r="C162">
        <v>10</v>
      </c>
      <c r="D162" t="s">
        <v>304</v>
      </c>
      <c r="E162">
        <v>1500</v>
      </c>
      <c r="F162" s="47" t="s">
        <v>351</v>
      </c>
      <c r="G162" t="s">
        <v>502</v>
      </c>
      <c r="H162" s="37">
        <v>0</v>
      </c>
      <c r="I162" t="s">
        <v>503</v>
      </c>
      <c r="J162" t="s">
        <v>126</v>
      </c>
    </row>
    <row r="163" spans="1:10" x14ac:dyDescent="0.25">
      <c r="A163">
        <v>10500101</v>
      </c>
      <c r="B163" s="50">
        <v>105001</v>
      </c>
      <c r="C163">
        <v>1</v>
      </c>
      <c r="D163" t="s">
        <v>273</v>
      </c>
      <c r="E163">
        <v>0</v>
      </c>
      <c r="F163" s="47" t="s">
        <v>274</v>
      </c>
      <c r="G163" t="s">
        <v>504</v>
      </c>
      <c r="H163">
        <v>10500101</v>
      </c>
      <c r="I163" t="s">
        <v>401</v>
      </c>
      <c r="J163" t="s">
        <v>133</v>
      </c>
    </row>
    <row r="164" spans="1:10" x14ac:dyDescent="0.25">
      <c r="A164">
        <v>10500102</v>
      </c>
      <c r="B164" s="50">
        <v>105001</v>
      </c>
      <c r="C164">
        <v>2</v>
      </c>
      <c r="D164" t="s">
        <v>277</v>
      </c>
      <c r="E164">
        <v>50</v>
      </c>
      <c r="F164" s="47" t="s">
        <v>333</v>
      </c>
      <c r="G164" t="s">
        <v>494</v>
      </c>
      <c r="H164" s="37">
        <v>0</v>
      </c>
      <c r="I164" t="s">
        <v>401</v>
      </c>
      <c r="J164" t="s">
        <v>133</v>
      </c>
    </row>
    <row r="165" spans="1:10" x14ac:dyDescent="0.25">
      <c r="A165">
        <v>10500103</v>
      </c>
      <c r="B165" s="50">
        <v>105001</v>
      </c>
      <c r="C165">
        <v>3</v>
      </c>
      <c r="D165" t="s">
        <v>280</v>
      </c>
      <c r="E165">
        <v>100</v>
      </c>
      <c r="F165" s="47" t="s">
        <v>335</v>
      </c>
      <c r="G165" t="s">
        <v>505</v>
      </c>
      <c r="H165" s="37">
        <v>0</v>
      </c>
      <c r="I165" t="s">
        <v>403</v>
      </c>
      <c r="J165" t="s">
        <v>133</v>
      </c>
    </row>
    <row r="166" spans="1:10" x14ac:dyDescent="0.25">
      <c r="A166">
        <v>10500104</v>
      </c>
      <c r="B166" s="50">
        <v>105001</v>
      </c>
      <c r="C166">
        <v>4</v>
      </c>
      <c r="D166" t="s">
        <v>283</v>
      </c>
      <c r="E166">
        <v>150</v>
      </c>
      <c r="F166" s="47" t="s">
        <v>337</v>
      </c>
      <c r="G166" t="s">
        <v>506</v>
      </c>
      <c r="H166">
        <v>10500102</v>
      </c>
      <c r="I166" t="s">
        <v>403</v>
      </c>
      <c r="J166" t="s">
        <v>133</v>
      </c>
    </row>
    <row r="167" spans="1:10" x14ac:dyDescent="0.25">
      <c r="A167">
        <v>10500105</v>
      </c>
      <c r="B167" s="50">
        <v>105001</v>
      </c>
      <c r="C167">
        <v>5</v>
      </c>
      <c r="D167" t="s">
        <v>287</v>
      </c>
      <c r="E167">
        <v>250</v>
      </c>
      <c r="F167" s="47" t="s">
        <v>339</v>
      </c>
      <c r="G167" t="s">
        <v>507</v>
      </c>
      <c r="H167" s="37">
        <v>0</v>
      </c>
      <c r="I167" t="s">
        <v>403</v>
      </c>
      <c r="J167" t="s">
        <v>133</v>
      </c>
    </row>
    <row r="168" spans="1:10" x14ac:dyDescent="0.25">
      <c r="A168">
        <v>10500106</v>
      </c>
      <c r="B168" s="50">
        <v>105001</v>
      </c>
      <c r="C168">
        <v>6</v>
      </c>
      <c r="D168" t="s">
        <v>290</v>
      </c>
      <c r="E168">
        <v>400</v>
      </c>
      <c r="F168" s="47" t="s">
        <v>341</v>
      </c>
      <c r="G168" t="s">
        <v>508</v>
      </c>
      <c r="H168" s="37">
        <v>0</v>
      </c>
      <c r="I168" t="s">
        <v>403</v>
      </c>
      <c r="J168" t="s">
        <v>133</v>
      </c>
    </row>
    <row r="169" spans="1:10" x14ac:dyDescent="0.25">
      <c r="A169">
        <v>10500107</v>
      </c>
      <c r="B169" s="50">
        <v>105001</v>
      </c>
      <c r="C169">
        <v>7</v>
      </c>
      <c r="D169" t="s">
        <v>293</v>
      </c>
      <c r="E169">
        <v>650</v>
      </c>
      <c r="F169" s="47" t="s">
        <v>343</v>
      </c>
      <c r="G169" t="s">
        <v>509</v>
      </c>
      <c r="H169" s="37">
        <v>0</v>
      </c>
      <c r="I169" t="s">
        <v>510</v>
      </c>
      <c r="J169" t="s">
        <v>133</v>
      </c>
    </row>
    <row r="170" spans="1:10" x14ac:dyDescent="0.25">
      <c r="A170">
        <v>10500108</v>
      </c>
      <c r="B170" s="50">
        <v>105001</v>
      </c>
      <c r="C170">
        <v>8</v>
      </c>
      <c r="D170" t="s">
        <v>297</v>
      </c>
      <c r="E170">
        <v>900</v>
      </c>
      <c r="F170" s="47" t="s">
        <v>346</v>
      </c>
      <c r="G170" t="s">
        <v>511</v>
      </c>
      <c r="H170">
        <v>10500103</v>
      </c>
      <c r="I170" t="s">
        <v>510</v>
      </c>
      <c r="J170" t="s">
        <v>133</v>
      </c>
    </row>
    <row r="171" spans="1:10" x14ac:dyDescent="0.25">
      <c r="A171">
        <v>10500109</v>
      </c>
      <c r="B171" s="50">
        <v>105001</v>
      </c>
      <c r="C171">
        <v>9</v>
      </c>
      <c r="D171" t="s">
        <v>300</v>
      </c>
      <c r="E171">
        <v>1200</v>
      </c>
      <c r="F171" s="47" t="s">
        <v>348</v>
      </c>
      <c r="G171" t="s">
        <v>512</v>
      </c>
      <c r="H171" s="37">
        <v>0</v>
      </c>
      <c r="I171" t="s">
        <v>513</v>
      </c>
      <c r="J171" t="s">
        <v>133</v>
      </c>
    </row>
    <row r="172" spans="1:10" x14ac:dyDescent="0.25">
      <c r="A172">
        <v>10500110</v>
      </c>
      <c r="B172" s="50">
        <v>105001</v>
      </c>
      <c r="C172">
        <v>10</v>
      </c>
      <c r="D172" t="s">
        <v>304</v>
      </c>
      <c r="E172">
        <v>1500</v>
      </c>
      <c r="F172" s="47" t="s">
        <v>351</v>
      </c>
      <c r="G172" t="s">
        <v>514</v>
      </c>
      <c r="H172" s="37">
        <v>0</v>
      </c>
      <c r="I172" t="s">
        <v>515</v>
      </c>
      <c r="J172" t="s">
        <v>133</v>
      </c>
    </row>
    <row r="173" spans="1:10" s="37" customFormat="1" x14ac:dyDescent="0.25">
      <c r="A173" s="50">
        <v>10100401</v>
      </c>
      <c r="B173" s="50">
        <v>101004</v>
      </c>
      <c r="C173" s="23">
        <v>1</v>
      </c>
      <c r="D173" s="23" t="s">
        <v>273</v>
      </c>
      <c r="E173" s="23">
        <v>0</v>
      </c>
      <c r="F173" s="52" t="s">
        <v>274</v>
      </c>
      <c r="G173" s="23" t="s">
        <v>516</v>
      </c>
      <c r="H173" s="1">
        <v>10100401</v>
      </c>
      <c r="I173" s="37" t="s">
        <v>303</v>
      </c>
      <c r="J173" s="37" t="s">
        <v>140</v>
      </c>
    </row>
    <row r="174" spans="1:10" s="37" customFormat="1" x14ac:dyDescent="0.25">
      <c r="A174" s="50">
        <v>10100402</v>
      </c>
      <c r="B174" s="50">
        <v>101004</v>
      </c>
      <c r="C174" s="23">
        <v>2</v>
      </c>
      <c r="D174" s="23" t="s">
        <v>277</v>
      </c>
      <c r="E174" s="23">
        <v>50</v>
      </c>
      <c r="F174" s="52" t="s">
        <v>333</v>
      </c>
      <c r="G174" s="23" t="s">
        <v>517</v>
      </c>
      <c r="H174" s="37">
        <v>0</v>
      </c>
      <c r="I174" s="37" t="s">
        <v>303</v>
      </c>
      <c r="J174" s="37" t="s">
        <v>140</v>
      </c>
    </row>
    <row r="175" spans="1:10" s="37" customFormat="1" x14ac:dyDescent="0.25">
      <c r="A175" s="50">
        <v>10100403</v>
      </c>
      <c r="B175" s="50">
        <v>101004</v>
      </c>
      <c r="C175" s="23">
        <v>3</v>
      </c>
      <c r="D175" s="23" t="s">
        <v>280</v>
      </c>
      <c r="E175" s="23">
        <v>100</v>
      </c>
      <c r="F175" s="52" t="s">
        <v>335</v>
      </c>
      <c r="G175" s="23" t="s">
        <v>518</v>
      </c>
      <c r="H175" s="37">
        <v>0</v>
      </c>
      <c r="I175" s="37" t="s">
        <v>38</v>
      </c>
      <c r="J175" s="37" t="s">
        <v>140</v>
      </c>
    </row>
    <row r="176" spans="1:10" s="37" customFormat="1" x14ac:dyDescent="0.25">
      <c r="A176" s="50">
        <v>10100404</v>
      </c>
      <c r="B176" s="50">
        <v>101004</v>
      </c>
      <c r="C176" s="23">
        <v>4</v>
      </c>
      <c r="D176" s="23" t="s">
        <v>283</v>
      </c>
      <c r="E176" s="23">
        <v>150</v>
      </c>
      <c r="F176" s="52" t="s">
        <v>337</v>
      </c>
      <c r="G176" s="23" t="s">
        <v>519</v>
      </c>
      <c r="H176" s="1">
        <v>10100402</v>
      </c>
      <c r="I176" s="37" t="s">
        <v>38</v>
      </c>
      <c r="J176" s="37" t="s">
        <v>140</v>
      </c>
    </row>
    <row r="177" spans="1:10" s="37" customFormat="1" x14ac:dyDescent="0.25">
      <c r="A177" s="50">
        <v>10100405</v>
      </c>
      <c r="B177" s="50">
        <v>101004</v>
      </c>
      <c r="C177" s="23">
        <v>5</v>
      </c>
      <c r="D177" s="23" t="s">
        <v>287</v>
      </c>
      <c r="E177" s="23">
        <v>250</v>
      </c>
      <c r="F177" s="52" t="s">
        <v>339</v>
      </c>
      <c r="G177" s="23" t="s">
        <v>520</v>
      </c>
      <c r="H177" s="37">
        <v>0</v>
      </c>
      <c r="I177" s="37" t="s">
        <v>38</v>
      </c>
      <c r="J177" s="37" t="s">
        <v>140</v>
      </c>
    </row>
    <row r="178" spans="1:10" s="37" customFormat="1" x14ac:dyDescent="0.25">
      <c r="A178" s="50">
        <v>10100406</v>
      </c>
      <c r="B178" s="50">
        <v>101004</v>
      </c>
      <c r="C178" s="23">
        <v>6</v>
      </c>
      <c r="D178" s="23" t="s">
        <v>290</v>
      </c>
      <c r="E178" s="23">
        <v>400</v>
      </c>
      <c r="F178" s="52" t="s">
        <v>341</v>
      </c>
      <c r="G178" s="23" t="s">
        <v>521</v>
      </c>
      <c r="H178" s="37">
        <v>0</v>
      </c>
      <c r="I178" s="37" t="s">
        <v>38</v>
      </c>
      <c r="J178" s="37" t="s">
        <v>140</v>
      </c>
    </row>
    <row r="179" spans="1:10" s="37" customFormat="1" x14ac:dyDescent="0.25">
      <c r="A179" s="50">
        <v>10100407</v>
      </c>
      <c r="B179" s="50">
        <v>101004</v>
      </c>
      <c r="C179" s="23">
        <v>7</v>
      </c>
      <c r="D179" s="23" t="s">
        <v>293</v>
      </c>
      <c r="E179" s="23">
        <v>650</v>
      </c>
      <c r="F179" s="52" t="s">
        <v>343</v>
      </c>
      <c r="G179" s="23" t="s">
        <v>522</v>
      </c>
      <c r="H179" s="37">
        <v>0</v>
      </c>
      <c r="I179" s="37" t="s">
        <v>499</v>
      </c>
      <c r="J179" s="37" t="s">
        <v>140</v>
      </c>
    </row>
    <row r="180" spans="1:10" s="37" customFormat="1" x14ac:dyDescent="0.25">
      <c r="A180" s="50">
        <v>10100408</v>
      </c>
      <c r="B180" s="50">
        <v>101004</v>
      </c>
      <c r="C180" s="23">
        <v>8</v>
      </c>
      <c r="D180" s="23" t="s">
        <v>297</v>
      </c>
      <c r="E180" s="23">
        <v>900</v>
      </c>
      <c r="F180" s="52" t="s">
        <v>346</v>
      </c>
      <c r="G180" s="23" t="s">
        <v>523</v>
      </c>
      <c r="H180" s="1">
        <v>10100403</v>
      </c>
      <c r="I180" s="37" t="s">
        <v>499</v>
      </c>
      <c r="J180" s="37" t="s">
        <v>140</v>
      </c>
    </row>
    <row r="181" spans="1:10" s="37" customFormat="1" x14ac:dyDescent="0.25">
      <c r="A181" s="50">
        <v>10100409</v>
      </c>
      <c r="B181" s="50">
        <v>101004</v>
      </c>
      <c r="C181" s="23">
        <v>9</v>
      </c>
      <c r="D181" s="23" t="s">
        <v>300</v>
      </c>
      <c r="E181" s="23">
        <v>1200</v>
      </c>
      <c r="F181" s="52" t="s">
        <v>348</v>
      </c>
      <c r="G181" s="23" t="s">
        <v>524</v>
      </c>
      <c r="H181" s="37">
        <v>0</v>
      </c>
      <c r="I181" s="37" t="s">
        <v>501</v>
      </c>
      <c r="J181" s="37" t="s">
        <v>140</v>
      </c>
    </row>
    <row r="182" spans="1:10" s="37" customFormat="1" x14ac:dyDescent="0.25">
      <c r="A182" s="50">
        <v>10100410</v>
      </c>
      <c r="B182" s="50">
        <v>101004</v>
      </c>
      <c r="C182" s="23">
        <v>10</v>
      </c>
      <c r="D182" s="23" t="s">
        <v>304</v>
      </c>
      <c r="E182" s="23">
        <v>1500</v>
      </c>
      <c r="F182" s="52" t="s">
        <v>351</v>
      </c>
      <c r="G182" s="23" t="s">
        <v>525</v>
      </c>
      <c r="H182" s="37">
        <v>0</v>
      </c>
      <c r="I182" s="37" t="s">
        <v>503</v>
      </c>
      <c r="J182" s="37" t="s">
        <v>140</v>
      </c>
    </row>
    <row r="183" spans="1:10" s="37" customFormat="1" x14ac:dyDescent="0.25">
      <c r="A183" s="50">
        <v>30000201</v>
      </c>
      <c r="B183" s="50">
        <v>300002</v>
      </c>
      <c r="C183" s="23">
        <v>1</v>
      </c>
      <c r="D183" s="23" t="s">
        <v>273</v>
      </c>
      <c r="E183" s="23">
        <v>0</v>
      </c>
      <c r="F183" s="52" t="s">
        <v>274</v>
      </c>
      <c r="G183" s="23" t="s">
        <v>526</v>
      </c>
      <c r="H183" s="1">
        <v>30000201</v>
      </c>
      <c r="I183" s="37" t="s">
        <v>488</v>
      </c>
      <c r="J183" s="37" t="s">
        <v>146</v>
      </c>
    </row>
    <row r="184" spans="1:10" s="37" customFormat="1" x14ac:dyDescent="0.25">
      <c r="A184" s="50">
        <v>30000202</v>
      </c>
      <c r="B184" s="50">
        <v>300002</v>
      </c>
      <c r="C184" s="23">
        <v>2</v>
      </c>
      <c r="D184" s="23" t="s">
        <v>277</v>
      </c>
      <c r="E184" s="23">
        <v>50</v>
      </c>
      <c r="F184" s="52" t="s">
        <v>333</v>
      </c>
      <c r="G184" s="23" t="s">
        <v>527</v>
      </c>
      <c r="H184" s="37">
        <v>0</v>
      </c>
      <c r="I184" s="37" t="s">
        <v>488</v>
      </c>
      <c r="J184" s="37" t="s">
        <v>146</v>
      </c>
    </row>
    <row r="185" spans="1:10" s="37" customFormat="1" x14ac:dyDescent="0.25">
      <c r="A185" s="50">
        <v>30000203</v>
      </c>
      <c r="B185" s="50">
        <v>300002</v>
      </c>
      <c r="C185" s="23">
        <v>3</v>
      </c>
      <c r="D185" s="23" t="s">
        <v>280</v>
      </c>
      <c r="E185" s="23">
        <v>100</v>
      </c>
      <c r="F185" s="52" t="s">
        <v>335</v>
      </c>
      <c r="G185" s="23" t="s">
        <v>528</v>
      </c>
      <c r="H185" s="37">
        <v>0</v>
      </c>
      <c r="I185" s="37" t="s">
        <v>491</v>
      </c>
      <c r="J185" s="37" t="s">
        <v>146</v>
      </c>
    </row>
    <row r="186" spans="1:10" s="37" customFormat="1" x14ac:dyDescent="0.25">
      <c r="A186" s="50">
        <v>30000204</v>
      </c>
      <c r="B186" s="50">
        <v>300002</v>
      </c>
      <c r="C186" s="23">
        <v>4</v>
      </c>
      <c r="D186" s="23" t="s">
        <v>283</v>
      </c>
      <c r="E186" s="23">
        <v>150</v>
      </c>
      <c r="F186" s="52" t="s">
        <v>337</v>
      </c>
      <c r="G186" s="23" t="s">
        <v>529</v>
      </c>
      <c r="H186" s="1">
        <v>30000202</v>
      </c>
      <c r="I186" s="37" t="s">
        <v>491</v>
      </c>
      <c r="J186" s="37" t="s">
        <v>146</v>
      </c>
    </row>
    <row r="187" spans="1:10" s="37" customFormat="1" x14ac:dyDescent="0.25">
      <c r="A187" s="50">
        <v>30000205</v>
      </c>
      <c r="B187" s="50">
        <v>300002</v>
      </c>
      <c r="C187" s="23">
        <v>5</v>
      </c>
      <c r="D187" s="23" t="s">
        <v>287</v>
      </c>
      <c r="E187" s="23">
        <v>250</v>
      </c>
      <c r="F187" s="52" t="s">
        <v>339</v>
      </c>
      <c r="G187" s="23" t="s">
        <v>530</v>
      </c>
      <c r="H187" s="37">
        <v>0</v>
      </c>
      <c r="I187" s="37" t="s">
        <v>491</v>
      </c>
      <c r="J187" s="37" t="s">
        <v>146</v>
      </c>
    </row>
    <row r="188" spans="1:10" s="37" customFormat="1" x14ac:dyDescent="0.25">
      <c r="A188" s="50">
        <v>30000206</v>
      </c>
      <c r="B188" s="50">
        <v>300002</v>
      </c>
      <c r="C188" s="23">
        <v>6</v>
      </c>
      <c r="D188" s="23" t="s">
        <v>290</v>
      </c>
      <c r="E188" s="23">
        <v>400</v>
      </c>
      <c r="F188" s="52" t="s">
        <v>341</v>
      </c>
      <c r="G188" s="23" t="s">
        <v>531</v>
      </c>
      <c r="H188" s="37">
        <v>0</v>
      </c>
      <c r="I188" s="37" t="s">
        <v>491</v>
      </c>
      <c r="J188" s="37" t="s">
        <v>146</v>
      </c>
    </row>
    <row r="189" spans="1:10" s="37" customFormat="1" x14ac:dyDescent="0.25">
      <c r="A189" s="50">
        <v>30000207</v>
      </c>
      <c r="B189" s="50">
        <v>300002</v>
      </c>
      <c r="C189" s="23">
        <v>7</v>
      </c>
      <c r="D189" s="23" t="s">
        <v>293</v>
      </c>
      <c r="E189" s="23">
        <v>650</v>
      </c>
      <c r="F189" s="52" t="s">
        <v>343</v>
      </c>
      <c r="G189" s="23" t="s">
        <v>532</v>
      </c>
      <c r="H189" s="37">
        <v>0</v>
      </c>
      <c r="I189" s="37" t="s">
        <v>533</v>
      </c>
      <c r="J189" s="37" t="s">
        <v>146</v>
      </c>
    </row>
    <row r="190" spans="1:10" s="37" customFormat="1" x14ac:dyDescent="0.25">
      <c r="A190" s="50">
        <v>30000208</v>
      </c>
      <c r="B190" s="50">
        <v>300002</v>
      </c>
      <c r="C190" s="23">
        <v>8</v>
      </c>
      <c r="D190" s="23" t="s">
        <v>297</v>
      </c>
      <c r="E190" s="23">
        <v>900</v>
      </c>
      <c r="F190" s="52" t="s">
        <v>346</v>
      </c>
      <c r="G190" s="23" t="s">
        <v>534</v>
      </c>
      <c r="H190" s="1">
        <v>30000203</v>
      </c>
      <c r="I190" s="37" t="s">
        <v>533</v>
      </c>
      <c r="J190" s="37" t="s">
        <v>146</v>
      </c>
    </row>
    <row r="191" spans="1:10" s="37" customFormat="1" x14ac:dyDescent="0.25">
      <c r="A191" s="50">
        <v>30000209</v>
      </c>
      <c r="B191" s="50">
        <v>300002</v>
      </c>
      <c r="C191" s="23">
        <v>9</v>
      </c>
      <c r="D191" s="23" t="s">
        <v>300</v>
      </c>
      <c r="E191" s="23">
        <v>1200</v>
      </c>
      <c r="F191" s="52" t="s">
        <v>348</v>
      </c>
      <c r="G191" s="23" t="s">
        <v>535</v>
      </c>
      <c r="H191" s="37">
        <v>0</v>
      </c>
      <c r="I191" s="37" t="s">
        <v>536</v>
      </c>
      <c r="J191" s="37" t="s">
        <v>146</v>
      </c>
    </row>
    <row r="192" spans="1:10" s="37" customFormat="1" x14ac:dyDescent="0.25">
      <c r="A192" s="50">
        <v>30000210</v>
      </c>
      <c r="B192" s="50">
        <v>300002</v>
      </c>
      <c r="C192" s="23">
        <v>10</v>
      </c>
      <c r="D192" s="23" t="s">
        <v>304</v>
      </c>
      <c r="E192" s="23">
        <v>1500</v>
      </c>
      <c r="F192" s="52" t="s">
        <v>351</v>
      </c>
      <c r="G192" s="23" t="s">
        <v>537</v>
      </c>
      <c r="H192" s="37">
        <v>0</v>
      </c>
      <c r="I192" s="37" t="s">
        <v>538</v>
      </c>
      <c r="J192" s="37" t="s">
        <v>146</v>
      </c>
    </row>
    <row r="193" spans="1:10" x14ac:dyDescent="0.25">
      <c r="A193" s="15">
        <v>20100301</v>
      </c>
      <c r="B193" s="15">
        <v>201003</v>
      </c>
      <c r="C193">
        <v>1</v>
      </c>
      <c r="D193" t="s">
        <v>273</v>
      </c>
      <c r="E193" s="23">
        <v>0</v>
      </c>
      <c r="F193" s="47" t="s">
        <v>274</v>
      </c>
      <c r="G193" t="s">
        <v>442</v>
      </c>
      <c r="H193" s="11">
        <v>20100301</v>
      </c>
      <c r="I193" t="s">
        <v>448</v>
      </c>
      <c r="J193" t="s">
        <v>152</v>
      </c>
    </row>
    <row r="194" spans="1:10" x14ac:dyDescent="0.25">
      <c r="A194" s="15">
        <v>20100302</v>
      </c>
      <c r="B194" s="15">
        <v>201003</v>
      </c>
      <c r="C194">
        <v>2</v>
      </c>
      <c r="D194" t="s">
        <v>277</v>
      </c>
      <c r="E194" s="23">
        <v>50</v>
      </c>
      <c r="F194" s="47" t="s">
        <v>333</v>
      </c>
      <c r="G194" t="s">
        <v>443</v>
      </c>
      <c r="H194" s="37">
        <v>0</v>
      </c>
      <c r="I194" t="s">
        <v>448</v>
      </c>
      <c r="J194" t="s">
        <v>152</v>
      </c>
    </row>
    <row r="195" spans="1:10" x14ac:dyDescent="0.25">
      <c r="A195" s="15">
        <v>20100303</v>
      </c>
      <c r="B195" s="15">
        <v>201003</v>
      </c>
      <c r="C195">
        <v>3</v>
      </c>
      <c r="D195" t="s">
        <v>280</v>
      </c>
      <c r="E195" s="23">
        <v>100</v>
      </c>
      <c r="F195" s="47" t="s">
        <v>335</v>
      </c>
      <c r="G195" t="s">
        <v>445</v>
      </c>
      <c r="H195" s="37">
        <v>0</v>
      </c>
      <c r="I195" t="s">
        <v>451</v>
      </c>
      <c r="J195" t="s">
        <v>152</v>
      </c>
    </row>
    <row r="196" spans="1:10" x14ac:dyDescent="0.25">
      <c r="A196" s="15">
        <v>20100304</v>
      </c>
      <c r="B196" s="15">
        <v>201003</v>
      </c>
      <c r="C196">
        <v>4</v>
      </c>
      <c r="D196" t="s">
        <v>283</v>
      </c>
      <c r="E196" s="23">
        <v>150</v>
      </c>
      <c r="F196" s="47" t="s">
        <v>337</v>
      </c>
      <c r="G196" t="s">
        <v>446</v>
      </c>
      <c r="H196" s="11">
        <v>20100302</v>
      </c>
      <c r="I196" t="s">
        <v>451</v>
      </c>
      <c r="J196" t="s">
        <v>152</v>
      </c>
    </row>
    <row r="197" spans="1:10" x14ac:dyDescent="0.25">
      <c r="A197" s="15">
        <v>20100305</v>
      </c>
      <c r="B197" s="15">
        <v>201003</v>
      </c>
      <c r="C197">
        <v>5</v>
      </c>
      <c r="D197" t="s">
        <v>287</v>
      </c>
      <c r="E197" s="23">
        <v>250</v>
      </c>
      <c r="F197" s="47" t="s">
        <v>339</v>
      </c>
      <c r="G197" t="s">
        <v>447</v>
      </c>
      <c r="H197" s="37">
        <v>0</v>
      </c>
      <c r="I197" t="s">
        <v>451</v>
      </c>
      <c r="J197" t="s">
        <v>152</v>
      </c>
    </row>
    <row r="198" spans="1:10" x14ac:dyDescent="0.25">
      <c r="A198" s="15">
        <v>20100306</v>
      </c>
      <c r="B198" s="15">
        <v>201003</v>
      </c>
      <c r="C198">
        <v>6</v>
      </c>
      <c r="D198" t="s">
        <v>290</v>
      </c>
      <c r="E198" s="23">
        <v>400</v>
      </c>
      <c r="F198" s="47" t="s">
        <v>341</v>
      </c>
      <c r="G198" t="s">
        <v>449</v>
      </c>
      <c r="H198" s="37">
        <v>0</v>
      </c>
      <c r="I198" t="s">
        <v>451</v>
      </c>
      <c r="J198" t="s">
        <v>152</v>
      </c>
    </row>
    <row r="199" spans="1:10" x14ac:dyDescent="0.25">
      <c r="A199" s="15">
        <v>20100307</v>
      </c>
      <c r="B199" s="15">
        <v>201003</v>
      </c>
      <c r="C199">
        <v>7</v>
      </c>
      <c r="D199" t="s">
        <v>293</v>
      </c>
      <c r="E199" s="23">
        <v>650</v>
      </c>
      <c r="F199" s="47" t="s">
        <v>343</v>
      </c>
      <c r="G199" t="s">
        <v>450</v>
      </c>
      <c r="H199" s="37">
        <v>0</v>
      </c>
      <c r="I199" t="s">
        <v>539</v>
      </c>
      <c r="J199" t="s">
        <v>152</v>
      </c>
    </row>
    <row r="200" spans="1:10" x14ac:dyDescent="0.25">
      <c r="A200" s="15">
        <v>20100308</v>
      </c>
      <c r="B200" s="15">
        <v>201003</v>
      </c>
      <c r="C200">
        <v>8</v>
      </c>
      <c r="D200" t="s">
        <v>297</v>
      </c>
      <c r="E200" s="23">
        <v>900</v>
      </c>
      <c r="F200" s="47" t="s">
        <v>346</v>
      </c>
      <c r="G200" t="s">
        <v>540</v>
      </c>
      <c r="H200" s="11">
        <v>20100303</v>
      </c>
      <c r="I200" t="s">
        <v>539</v>
      </c>
      <c r="J200" t="s">
        <v>152</v>
      </c>
    </row>
    <row r="201" spans="1:10" x14ac:dyDescent="0.25">
      <c r="A201" s="15">
        <v>20100309</v>
      </c>
      <c r="B201" s="15">
        <v>201003</v>
      </c>
      <c r="C201">
        <v>9</v>
      </c>
      <c r="D201" t="s">
        <v>300</v>
      </c>
      <c r="E201" s="23">
        <v>1200</v>
      </c>
      <c r="F201" s="47" t="s">
        <v>348</v>
      </c>
      <c r="G201" t="s">
        <v>541</v>
      </c>
      <c r="H201" s="37">
        <v>0</v>
      </c>
      <c r="I201" t="s">
        <v>542</v>
      </c>
      <c r="J201" t="s">
        <v>152</v>
      </c>
    </row>
    <row r="202" spans="1:10" x14ac:dyDescent="0.25">
      <c r="A202" s="15">
        <v>20100310</v>
      </c>
      <c r="B202" s="15">
        <v>201003</v>
      </c>
      <c r="C202">
        <v>10</v>
      </c>
      <c r="D202" t="s">
        <v>304</v>
      </c>
      <c r="E202" s="23">
        <v>1500</v>
      </c>
      <c r="F202" s="47" t="s">
        <v>351</v>
      </c>
      <c r="G202" t="s">
        <v>543</v>
      </c>
      <c r="H202" s="37">
        <v>0</v>
      </c>
      <c r="I202" t="s">
        <v>544</v>
      </c>
      <c r="J202" t="s">
        <v>152</v>
      </c>
    </row>
    <row r="203" spans="1:10" x14ac:dyDescent="0.25">
      <c r="A203" s="15">
        <v>20100401</v>
      </c>
      <c r="B203" s="15">
        <v>201004</v>
      </c>
      <c r="C203">
        <v>1</v>
      </c>
      <c r="D203" t="s">
        <v>273</v>
      </c>
      <c r="E203">
        <v>0</v>
      </c>
      <c r="F203" s="47" t="s">
        <v>274</v>
      </c>
      <c r="G203" t="s">
        <v>545</v>
      </c>
      <c r="H203" s="11">
        <v>20100401</v>
      </c>
      <c r="I203" t="s">
        <v>448</v>
      </c>
      <c r="J203" t="s">
        <v>158</v>
      </c>
    </row>
    <row r="204" spans="1:10" x14ac:dyDescent="0.25">
      <c r="A204" s="15">
        <v>20100402</v>
      </c>
      <c r="B204" s="15">
        <v>201004</v>
      </c>
      <c r="C204">
        <v>2</v>
      </c>
      <c r="D204" t="s">
        <v>277</v>
      </c>
      <c r="E204">
        <v>50</v>
      </c>
      <c r="F204" s="47" t="s">
        <v>333</v>
      </c>
      <c r="G204" t="s">
        <v>546</v>
      </c>
      <c r="H204" s="37">
        <v>0</v>
      </c>
      <c r="I204" t="s">
        <v>448</v>
      </c>
      <c r="J204" t="s">
        <v>158</v>
      </c>
    </row>
    <row r="205" spans="1:10" x14ac:dyDescent="0.25">
      <c r="A205" s="15">
        <v>20100403</v>
      </c>
      <c r="B205" s="15">
        <v>201004</v>
      </c>
      <c r="C205">
        <v>3</v>
      </c>
      <c r="D205" t="s">
        <v>280</v>
      </c>
      <c r="E205">
        <v>100</v>
      </c>
      <c r="F205" s="47" t="s">
        <v>335</v>
      </c>
      <c r="G205" t="s">
        <v>547</v>
      </c>
      <c r="H205" s="37">
        <v>0</v>
      </c>
      <c r="I205" t="s">
        <v>451</v>
      </c>
      <c r="J205" t="s">
        <v>158</v>
      </c>
    </row>
    <row r="206" spans="1:10" x14ac:dyDescent="0.25">
      <c r="A206" s="15">
        <v>20100404</v>
      </c>
      <c r="B206" s="15">
        <v>201004</v>
      </c>
      <c r="C206">
        <v>4</v>
      </c>
      <c r="D206" t="s">
        <v>283</v>
      </c>
      <c r="E206">
        <v>150</v>
      </c>
      <c r="F206" s="47" t="s">
        <v>337</v>
      </c>
      <c r="G206" t="s">
        <v>548</v>
      </c>
      <c r="H206" s="11">
        <v>20100402</v>
      </c>
      <c r="I206" t="s">
        <v>451</v>
      </c>
      <c r="J206" t="s">
        <v>158</v>
      </c>
    </row>
    <row r="207" spans="1:10" x14ac:dyDescent="0.25">
      <c r="A207" s="15">
        <v>20100405</v>
      </c>
      <c r="B207" s="15">
        <v>201004</v>
      </c>
      <c r="C207">
        <v>5</v>
      </c>
      <c r="D207" t="s">
        <v>287</v>
      </c>
      <c r="E207">
        <v>250</v>
      </c>
      <c r="F207" s="47" t="s">
        <v>339</v>
      </c>
      <c r="G207" t="s">
        <v>549</v>
      </c>
      <c r="H207" s="37">
        <v>0</v>
      </c>
      <c r="I207" t="s">
        <v>451</v>
      </c>
      <c r="J207" t="s">
        <v>158</v>
      </c>
    </row>
    <row r="208" spans="1:10" x14ac:dyDescent="0.25">
      <c r="A208" s="15">
        <v>20100406</v>
      </c>
      <c r="B208" s="15">
        <v>201004</v>
      </c>
      <c r="C208">
        <v>6</v>
      </c>
      <c r="D208" t="s">
        <v>290</v>
      </c>
      <c r="E208">
        <v>400</v>
      </c>
      <c r="F208" s="47" t="s">
        <v>341</v>
      </c>
      <c r="G208" t="s">
        <v>550</v>
      </c>
      <c r="H208" s="37">
        <v>0</v>
      </c>
      <c r="I208" t="s">
        <v>451</v>
      </c>
      <c r="J208" t="s">
        <v>158</v>
      </c>
    </row>
    <row r="209" spans="1:10" x14ac:dyDescent="0.25">
      <c r="A209" s="15">
        <v>20100407</v>
      </c>
      <c r="B209" s="15">
        <v>201004</v>
      </c>
      <c r="C209">
        <v>7</v>
      </c>
      <c r="D209" t="s">
        <v>293</v>
      </c>
      <c r="E209">
        <v>650</v>
      </c>
      <c r="F209" s="47" t="s">
        <v>343</v>
      </c>
      <c r="G209" t="s">
        <v>551</v>
      </c>
      <c r="H209" s="37">
        <v>0</v>
      </c>
      <c r="I209" t="s">
        <v>539</v>
      </c>
      <c r="J209" t="s">
        <v>158</v>
      </c>
    </row>
    <row r="210" spans="1:10" x14ac:dyDescent="0.25">
      <c r="A210" s="15">
        <v>20100408</v>
      </c>
      <c r="B210" s="15">
        <v>201004</v>
      </c>
      <c r="C210">
        <v>8</v>
      </c>
      <c r="D210" t="s">
        <v>297</v>
      </c>
      <c r="E210">
        <v>900</v>
      </c>
      <c r="F210" s="47" t="s">
        <v>346</v>
      </c>
      <c r="G210" t="s">
        <v>552</v>
      </c>
      <c r="H210" s="11">
        <v>20100403</v>
      </c>
      <c r="I210" t="s">
        <v>539</v>
      </c>
      <c r="J210" t="s">
        <v>158</v>
      </c>
    </row>
    <row r="211" spans="1:10" x14ac:dyDescent="0.25">
      <c r="A211" s="15">
        <v>20100409</v>
      </c>
      <c r="B211" s="15">
        <v>201004</v>
      </c>
      <c r="C211">
        <v>9</v>
      </c>
      <c r="D211" t="s">
        <v>300</v>
      </c>
      <c r="E211">
        <v>1200</v>
      </c>
      <c r="F211" s="47" t="s">
        <v>348</v>
      </c>
      <c r="G211" t="s">
        <v>553</v>
      </c>
      <c r="H211" s="37">
        <v>0</v>
      </c>
      <c r="I211" t="s">
        <v>542</v>
      </c>
      <c r="J211" t="s">
        <v>158</v>
      </c>
    </row>
    <row r="212" spans="1:10" x14ac:dyDescent="0.25">
      <c r="A212" s="15">
        <v>20100410</v>
      </c>
      <c r="B212" s="15">
        <v>201004</v>
      </c>
      <c r="C212">
        <v>10</v>
      </c>
      <c r="D212" t="s">
        <v>304</v>
      </c>
      <c r="E212">
        <v>1500</v>
      </c>
      <c r="F212" s="47" t="s">
        <v>351</v>
      </c>
      <c r="G212" t="s">
        <v>554</v>
      </c>
      <c r="H212" s="37">
        <v>0</v>
      </c>
      <c r="I212" t="s">
        <v>544</v>
      </c>
      <c r="J212" t="s">
        <v>158</v>
      </c>
    </row>
    <row r="213" spans="1:10" x14ac:dyDescent="0.25">
      <c r="A213" s="15">
        <v>10400201</v>
      </c>
      <c r="B213" s="15">
        <v>104002</v>
      </c>
      <c r="C213">
        <v>1</v>
      </c>
      <c r="D213" t="s">
        <v>273</v>
      </c>
      <c r="E213">
        <v>0</v>
      </c>
      <c r="F213" s="47" t="s">
        <v>274</v>
      </c>
      <c r="G213" t="s">
        <v>555</v>
      </c>
      <c r="H213" s="11">
        <v>10400201</v>
      </c>
      <c r="I213" t="s">
        <v>401</v>
      </c>
      <c r="J213" t="s">
        <v>164</v>
      </c>
    </row>
    <row r="214" spans="1:10" x14ac:dyDescent="0.25">
      <c r="A214" s="15">
        <v>10400202</v>
      </c>
      <c r="B214" s="15">
        <v>104002</v>
      </c>
      <c r="C214">
        <v>2</v>
      </c>
      <c r="D214" t="s">
        <v>277</v>
      </c>
      <c r="E214">
        <v>50</v>
      </c>
      <c r="F214" s="47" t="s">
        <v>333</v>
      </c>
      <c r="G214" t="s">
        <v>556</v>
      </c>
      <c r="H214" s="37">
        <v>0</v>
      </c>
      <c r="I214" t="s">
        <v>401</v>
      </c>
      <c r="J214" t="s">
        <v>164</v>
      </c>
    </row>
    <row r="215" spans="1:10" x14ac:dyDescent="0.25">
      <c r="A215" s="15">
        <v>10400203</v>
      </c>
      <c r="B215" s="15">
        <v>104002</v>
      </c>
      <c r="C215">
        <v>3</v>
      </c>
      <c r="D215" t="s">
        <v>280</v>
      </c>
      <c r="E215">
        <v>100</v>
      </c>
      <c r="F215" s="47" t="s">
        <v>335</v>
      </c>
      <c r="G215" t="s">
        <v>557</v>
      </c>
      <c r="H215" s="37">
        <v>0</v>
      </c>
      <c r="I215" t="s">
        <v>403</v>
      </c>
      <c r="J215" t="s">
        <v>164</v>
      </c>
    </row>
    <row r="216" spans="1:10" x14ac:dyDescent="0.25">
      <c r="A216" s="15">
        <v>10400204</v>
      </c>
      <c r="B216" s="15">
        <v>104002</v>
      </c>
      <c r="C216">
        <v>4</v>
      </c>
      <c r="D216" t="s">
        <v>283</v>
      </c>
      <c r="E216">
        <v>150</v>
      </c>
      <c r="F216" s="47" t="s">
        <v>337</v>
      </c>
      <c r="G216" t="s">
        <v>558</v>
      </c>
      <c r="H216" s="11">
        <v>10400202</v>
      </c>
      <c r="I216" t="s">
        <v>403</v>
      </c>
      <c r="J216" t="s">
        <v>164</v>
      </c>
    </row>
    <row r="217" spans="1:10" x14ac:dyDescent="0.25">
      <c r="A217" s="15">
        <v>10400205</v>
      </c>
      <c r="B217" s="15">
        <v>104002</v>
      </c>
      <c r="C217">
        <v>5</v>
      </c>
      <c r="D217" t="s">
        <v>287</v>
      </c>
      <c r="E217">
        <v>250</v>
      </c>
      <c r="F217" s="47" t="s">
        <v>339</v>
      </c>
      <c r="G217" t="s">
        <v>559</v>
      </c>
      <c r="H217" s="37">
        <v>0</v>
      </c>
      <c r="I217" t="s">
        <v>403</v>
      </c>
      <c r="J217" t="s">
        <v>164</v>
      </c>
    </row>
    <row r="218" spans="1:10" x14ac:dyDescent="0.25">
      <c r="A218" s="15">
        <v>10400206</v>
      </c>
      <c r="B218" s="15">
        <v>104002</v>
      </c>
      <c r="C218">
        <v>6</v>
      </c>
      <c r="D218" t="s">
        <v>290</v>
      </c>
      <c r="E218">
        <v>400</v>
      </c>
      <c r="F218" s="47" t="s">
        <v>341</v>
      </c>
      <c r="G218" t="s">
        <v>560</v>
      </c>
      <c r="H218" s="37">
        <v>0</v>
      </c>
      <c r="I218" t="s">
        <v>403</v>
      </c>
      <c r="J218" t="s">
        <v>164</v>
      </c>
    </row>
    <row r="219" spans="1:10" x14ac:dyDescent="0.25">
      <c r="A219" s="15">
        <v>10400207</v>
      </c>
      <c r="B219" s="15">
        <v>104002</v>
      </c>
      <c r="C219">
        <v>7</v>
      </c>
      <c r="D219" t="s">
        <v>293</v>
      </c>
      <c r="E219">
        <v>650</v>
      </c>
      <c r="F219" s="47" t="s">
        <v>343</v>
      </c>
      <c r="G219" t="s">
        <v>561</v>
      </c>
      <c r="H219" s="37">
        <v>0</v>
      </c>
      <c r="I219" t="s">
        <v>510</v>
      </c>
      <c r="J219" t="s">
        <v>164</v>
      </c>
    </row>
    <row r="220" spans="1:10" x14ac:dyDescent="0.25">
      <c r="A220" s="15">
        <v>10400208</v>
      </c>
      <c r="B220" s="15">
        <v>104002</v>
      </c>
      <c r="C220">
        <v>8</v>
      </c>
      <c r="D220" t="s">
        <v>297</v>
      </c>
      <c r="E220">
        <v>900</v>
      </c>
      <c r="F220" s="47" t="s">
        <v>346</v>
      </c>
      <c r="G220" t="s">
        <v>562</v>
      </c>
      <c r="H220" s="11">
        <v>10400203</v>
      </c>
      <c r="I220" t="s">
        <v>510</v>
      </c>
      <c r="J220" t="s">
        <v>164</v>
      </c>
    </row>
    <row r="221" spans="1:10" x14ac:dyDescent="0.25">
      <c r="A221" s="15">
        <v>10400209</v>
      </c>
      <c r="B221" s="15">
        <v>104002</v>
      </c>
      <c r="C221">
        <v>9</v>
      </c>
      <c r="D221" t="s">
        <v>300</v>
      </c>
      <c r="E221">
        <v>1200</v>
      </c>
      <c r="F221" s="47" t="s">
        <v>348</v>
      </c>
      <c r="G221" t="s">
        <v>563</v>
      </c>
      <c r="H221" s="37">
        <v>0</v>
      </c>
      <c r="I221" t="s">
        <v>513</v>
      </c>
      <c r="J221" t="s">
        <v>164</v>
      </c>
    </row>
    <row r="222" spans="1:10" x14ac:dyDescent="0.25">
      <c r="A222" s="15">
        <v>10400210</v>
      </c>
      <c r="B222" s="15">
        <v>104002</v>
      </c>
      <c r="C222">
        <v>10</v>
      </c>
      <c r="D222" t="s">
        <v>304</v>
      </c>
      <c r="E222">
        <v>1500</v>
      </c>
      <c r="F222" s="47" t="s">
        <v>351</v>
      </c>
      <c r="G222" t="s">
        <v>564</v>
      </c>
      <c r="H222" s="37">
        <v>0</v>
      </c>
      <c r="I222" t="s">
        <v>515</v>
      </c>
      <c r="J222" t="s">
        <v>164</v>
      </c>
    </row>
    <row r="223" spans="1:10" x14ac:dyDescent="0.25">
      <c r="A223" s="50">
        <v>10200401</v>
      </c>
      <c r="B223" s="50">
        <v>102004</v>
      </c>
      <c r="C223">
        <v>1</v>
      </c>
      <c r="D223" t="s">
        <v>273</v>
      </c>
      <c r="E223">
        <v>0</v>
      </c>
      <c r="F223" s="47" t="s">
        <v>274</v>
      </c>
      <c r="G223" t="s">
        <v>565</v>
      </c>
      <c r="H223" s="11">
        <v>10200401</v>
      </c>
      <c r="I223" t="s">
        <v>329</v>
      </c>
      <c r="J223" t="s">
        <v>170</v>
      </c>
    </row>
    <row r="224" spans="1:10" x14ac:dyDescent="0.25">
      <c r="A224" s="50">
        <v>10200402</v>
      </c>
      <c r="B224" s="50">
        <v>102004</v>
      </c>
      <c r="C224">
        <v>2</v>
      </c>
      <c r="D224" t="s">
        <v>277</v>
      </c>
      <c r="E224">
        <v>50</v>
      </c>
      <c r="F224" s="47" t="s">
        <v>333</v>
      </c>
      <c r="G224" t="s">
        <v>566</v>
      </c>
      <c r="H224" s="37">
        <v>0</v>
      </c>
      <c r="I224" t="s">
        <v>329</v>
      </c>
      <c r="J224" t="s">
        <v>170</v>
      </c>
    </row>
    <row r="225" spans="1:10" x14ac:dyDescent="0.25">
      <c r="A225" s="50">
        <v>10200403</v>
      </c>
      <c r="B225" s="50">
        <v>102004</v>
      </c>
      <c r="C225">
        <v>3</v>
      </c>
      <c r="D225" t="s">
        <v>280</v>
      </c>
      <c r="E225">
        <v>100</v>
      </c>
      <c r="F225" s="47" t="s">
        <v>335</v>
      </c>
      <c r="G225" t="s">
        <v>567</v>
      </c>
      <c r="H225" s="37">
        <v>0</v>
      </c>
      <c r="I225" t="s">
        <v>331</v>
      </c>
      <c r="J225" t="s">
        <v>170</v>
      </c>
    </row>
    <row r="226" spans="1:10" x14ac:dyDescent="0.25">
      <c r="A226" s="50">
        <v>10200404</v>
      </c>
      <c r="B226" s="50">
        <v>102004</v>
      </c>
      <c r="C226">
        <v>4</v>
      </c>
      <c r="D226" t="s">
        <v>283</v>
      </c>
      <c r="E226">
        <v>150</v>
      </c>
      <c r="F226" s="47" t="s">
        <v>337</v>
      </c>
      <c r="G226" t="s">
        <v>568</v>
      </c>
      <c r="H226" s="11">
        <v>10200402</v>
      </c>
      <c r="I226" t="s">
        <v>331</v>
      </c>
      <c r="J226" t="s">
        <v>170</v>
      </c>
    </row>
    <row r="227" spans="1:10" x14ac:dyDescent="0.25">
      <c r="A227" s="50">
        <v>10200405</v>
      </c>
      <c r="B227" s="50">
        <v>102004</v>
      </c>
      <c r="C227">
        <v>5</v>
      </c>
      <c r="D227" t="s">
        <v>287</v>
      </c>
      <c r="E227">
        <v>250</v>
      </c>
      <c r="F227" s="47" t="s">
        <v>339</v>
      </c>
      <c r="G227" t="s">
        <v>569</v>
      </c>
      <c r="H227" s="37">
        <v>0</v>
      </c>
      <c r="I227" t="s">
        <v>331</v>
      </c>
      <c r="J227" t="s">
        <v>170</v>
      </c>
    </row>
    <row r="228" spans="1:10" x14ac:dyDescent="0.25">
      <c r="A228" s="50">
        <v>10200406</v>
      </c>
      <c r="B228" s="50">
        <v>102004</v>
      </c>
      <c r="C228">
        <v>6</v>
      </c>
      <c r="D228" t="s">
        <v>290</v>
      </c>
      <c r="E228">
        <v>400</v>
      </c>
      <c r="F228" s="47" t="s">
        <v>341</v>
      </c>
      <c r="G228" t="s">
        <v>570</v>
      </c>
      <c r="H228" s="37">
        <v>0</v>
      </c>
      <c r="I228" t="s">
        <v>331</v>
      </c>
      <c r="J228" t="s">
        <v>170</v>
      </c>
    </row>
    <row r="229" spans="1:10" x14ac:dyDescent="0.25">
      <c r="A229" s="50">
        <v>10200407</v>
      </c>
      <c r="B229" s="50">
        <v>102004</v>
      </c>
      <c r="C229">
        <v>7</v>
      </c>
      <c r="D229" t="s">
        <v>293</v>
      </c>
      <c r="E229">
        <v>650</v>
      </c>
      <c r="F229" s="47" t="s">
        <v>343</v>
      </c>
      <c r="G229" t="s">
        <v>571</v>
      </c>
      <c r="H229" s="37">
        <v>0</v>
      </c>
      <c r="I229" t="s">
        <v>345</v>
      </c>
      <c r="J229" t="s">
        <v>170</v>
      </c>
    </row>
    <row r="230" spans="1:10" x14ac:dyDescent="0.25">
      <c r="A230" s="50">
        <v>10200408</v>
      </c>
      <c r="B230" s="50">
        <v>102004</v>
      </c>
      <c r="C230">
        <v>8</v>
      </c>
      <c r="D230" t="s">
        <v>297</v>
      </c>
      <c r="E230">
        <v>900</v>
      </c>
      <c r="F230" s="47" t="s">
        <v>346</v>
      </c>
      <c r="G230" t="s">
        <v>572</v>
      </c>
      <c r="H230" s="11">
        <v>10200403</v>
      </c>
      <c r="I230" t="s">
        <v>345</v>
      </c>
      <c r="J230" t="s">
        <v>170</v>
      </c>
    </row>
    <row r="231" spans="1:10" x14ac:dyDescent="0.25">
      <c r="A231" s="50">
        <v>10200409</v>
      </c>
      <c r="B231" s="50">
        <v>102004</v>
      </c>
      <c r="C231">
        <v>9</v>
      </c>
      <c r="D231" t="s">
        <v>300</v>
      </c>
      <c r="E231">
        <v>1200</v>
      </c>
      <c r="F231" s="47" t="s">
        <v>348</v>
      </c>
      <c r="G231" t="s">
        <v>573</v>
      </c>
      <c r="H231" s="37">
        <v>0</v>
      </c>
      <c r="I231" t="s">
        <v>350</v>
      </c>
      <c r="J231" t="s">
        <v>170</v>
      </c>
    </row>
    <row r="232" spans="1:10" x14ac:dyDescent="0.25">
      <c r="A232" s="50">
        <v>10200410</v>
      </c>
      <c r="B232" s="50">
        <v>102004</v>
      </c>
      <c r="C232">
        <v>10</v>
      </c>
      <c r="D232" t="s">
        <v>304</v>
      </c>
      <c r="E232">
        <v>1500</v>
      </c>
      <c r="F232" s="47" t="s">
        <v>351</v>
      </c>
      <c r="G232" t="s">
        <v>574</v>
      </c>
      <c r="H232" s="37">
        <v>0</v>
      </c>
      <c r="I232" t="s">
        <v>353</v>
      </c>
      <c r="J232" t="s">
        <v>170</v>
      </c>
    </row>
    <row r="233" spans="1:10" x14ac:dyDescent="0.25">
      <c r="A233" s="11">
        <v>10300301</v>
      </c>
      <c r="B233" s="50">
        <v>103003</v>
      </c>
      <c r="C233">
        <v>1</v>
      </c>
      <c r="D233" t="s">
        <v>273</v>
      </c>
      <c r="E233">
        <v>0</v>
      </c>
      <c r="F233" s="47" t="s">
        <v>274</v>
      </c>
      <c r="G233" t="s">
        <v>575</v>
      </c>
      <c r="H233" s="11">
        <v>10300301</v>
      </c>
      <c r="I233" t="s">
        <v>385</v>
      </c>
      <c r="J233" t="s">
        <v>176</v>
      </c>
    </row>
    <row r="234" spans="1:10" x14ac:dyDescent="0.25">
      <c r="A234" s="11">
        <v>10300302</v>
      </c>
      <c r="B234" s="50">
        <v>103003</v>
      </c>
      <c r="C234">
        <v>2</v>
      </c>
      <c r="D234" t="s">
        <v>277</v>
      </c>
      <c r="E234">
        <v>50</v>
      </c>
      <c r="F234" s="47" t="s">
        <v>333</v>
      </c>
      <c r="G234" t="s">
        <v>576</v>
      </c>
      <c r="H234" s="37">
        <v>0</v>
      </c>
      <c r="I234" t="s">
        <v>385</v>
      </c>
      <c r="J234" t="s">
        <v>176</v>
      </c>
    </row>
    <row r="235" spans="1:10" x14ac:dyDescent="0.25">
      <c r="A235" s="11">
        <v>10300303</v>
      </c>
      <c r="B235" s="50">
        <v>103003</v>
      </c>
      <c r="C235">
        <v>3</v>
      </c>
      <c r="D235" t="s">
        <v>280</v>
      </c>
      <c r="E235">
        <v>100</v>
      </c>
      <c r="F235" s="47" t="s">
        <v>335</v>
      </c>
      <c r="G235" t="s">
        <v>577</v>
      </c>
      <c r="H235" s="37">
        <v>0</v>
      </c>
      <c r="I235" t="s">
        <v>72</v>
      </c>
      <c r="J235" t="s">
        <v>176</v>
      </c>
    </row>
    <row r="236" spans="1:10" x14ac:dyDescent="0.25">
      <c r="A236" s="11">
        <v>10300304</v>
      </c>
      <c r="B236" s="50">
        <v>103003</v>
      </c>
      <c r="C236">
        <v>4</v>
      </c>
      <c r="D236" t="s">
        <v>283</v>
      </c>
      <c r="E236">
        <v>150</v>
      </c>
      <c r="F236" s="47" t="s">
        <v>337</v>
      </c>
      <c r="G236" t="s">
        <v>578</v>
      </c>
      <c r="H236" s="11">
        <v>10300302</v>
      </c>
      <c r="I236" t="s">
        <v>72</v>
      </c>
      <c r="J236" t="s">
        <v>176</v>
      </c>
    </row>
    <row r="237" spans="1:10" x14ac:dyDescent="0.25">
      <c r="A237" s="11">
        <v>10300305</v>
      </c>
      <c r="B237" s="50">
        <v>103003</v>
      </c>
      <c r="C237">
        <v>5</v>
      </c>
      <c r="D237" t="s">
        <v>287</v>
      </c>
      <c r="E237">
        <v>250</v>
      </c>
      <c r="F237" s="47" t="s">
        <v>339</v>
      </c>
      <c r="G237" t="s">
        <v>579</v>
      </c>
      <c r="H237" s="37">
        <v>0</v>
      </c>
      <c r="I237" t="s">
        <v>72</v>
      </c>
      <c r="J237" t="s">
        <v>176</v>
      </c>
    </row>
    <row r="238" spans="1:10" x14ac:dyDescent="0.25">
      <c r="A238" s="11">
        <v>10300306</v>
      </c>
      <c r="B238" s="50">
        <v>103003</v>
      </c>
      <c r="C238">
        <v>6</v>
      </c>
      <c r="D238" t="s">
        <v>290</v>
      </c>
      <c r="E238">
        <v>400</v>
      </c>
      <c r="F238" s="47" t="s">
        <v>341</v>
      </c>
      <c r="G238" t="s">
        <v>580</v>
      </c>
      <c r="H238" s="37">
        <v>0</v>
      </c>
      <c r="I238" t="s">
        <v>72</v>
      </c>
      <c r="J238" t="s">
        <v>176</v>
      </c>
    </row>
    <row r="239" spans="1:10" x14ac:dyDescent="0.25">
      <c r="A239" s="11">
        <v>10300307</v>
      </c>
      <c r="B239" s="50">
        <v>103003</v>
      </c>
      <c r="C239">
        <v>7</v>
      </c>
      <c r="D239" t="s">
        <v>293</v>
      </c>
      <c r="E239">
        <v>650</v>
      </c>
      <c r="F239" s="47" t="s">
        <v>343</v>
      </c>
      <c r="G239" t="s">
        <v>581</v>
      </c>
      <c r="H239" s="37">
        <v>0</v>
      </c>
      <c r="I239" t="s">
        <v>582</v>
      </c>
      <c r="J239" t="s">
        <v>176</v>
      </c>
    </row>
    <row r="240" spans="1:10" x14ac:dyDescent="0.25">
      <c r="A240" s="11">
        <v>10300308</v>
      </c>
      <c r="B240" s="50">
        <v>103003</v>
      </c>
      <c r="C240">
        <v>8</v>
      </c>
      <c r="D240" t="s">
        <v>297</v>
      </c>
      <c r="E240">
        <v>900</v>
      </c>
      <c r="F240" s="47" t="s">
        <v>346</v>
      </c>
      <c r="G240" t="s">
        <v>583</v>
      </c>
      <c r="H240" s="11">
        <v>10300303</v>
      </c>
      <c r="I240" t="s">
        <v>582</v>
      </c>
      <c r="J240" t="s">
        <v>176</v>
      </c>
    </row>
    <row r="241" spans="1:10" x14ac:dyDescent="0.25">
      <c r="A241" s="11">
        <v>10300309</v>
      </c>
      <c r="B241" s="50">
        <v>103003</v>
      </c>
      <c r="C241">
        <v>9</v>
      </c>
      <c r="D241" t="s">
        <v>300</v>
      </c>
      <c r="E241">
        <v>1200</v>
      </c>
      <c r="F241" s="47" t="s">
        <v>348</v>
      </c>
      <c r="G241" t="s">
        <v>584</v>
      </c>
      <c r="H241" s="37">
        <v>0</v>
      </c>
      <c r="I241" t="s">
        <v>585</v>
      </c>
      <c r="J241" t="s">
        <v>176</v>
      </c>
    </row>
    <row r="242" spans="1:10" x14ac:dyDescent="0.25">
      <c r="A242" s="11">
        <v>10300310</v>
      </c>
      <c r="B242" s="50">
        <v>103003</v>
      </c>
      <c r="C242">
        <v>10</v>
      </c>
      <c r="D242" t="s">
        <v>304</v>
      </c>
      <c r="E242">
        <v>1500</v>
      </c>
      <c r="F242" s="47" t="s">
        <v>351</v>
      </c>
      <c r="G242" t="s">
        <v>586</v>
      </c>
      <c r="H242" s="37">
        <v>0</v>
      </c>
      <c r="I242" t="s">
        <v>587</v>
      </c>
      <c r="J242" t="s">
        <v>176</v>
      </c>
    </row>
    <row r="243" spans="1:10" x14ac:dyDescent="0.25">
      <c r="A243" s="11">
        <v>11100201</v>
      </c>
      <c r="B243" s="50">
        <v>111002</v>
      </c>
      <c r="C243">
        <v>1</v>
      </c>
      <c r="D243" t="s">
        <v>273</v>
      </c>
      <c r="E243">
        <v>0</v>
      </c>
      <c r="F243" s="47">
        <v>0</v>
      </c>
      <c r="G243" t="s">
        <v>431</v>
      </c>
      <c r="H243" s="50">
        <v>11100201</v>
      </c>
      <c r="I243">
        <v>0</v>
      </c>
      <c r="J243" t="s">
        <v>182</v>
      </c>
    </row>
    <row r="244" spans="1:10" x14ac:dyDescent="0.25">
      <c r="A244" s="11">
        <v>11100202</v>
      </c>
      <c r="B244" s="50">
        <v>111002</v>
      </c>
      <c r="C244">
        <v>2</v>
      </c>
      <c r="D244" t="s">
        <v>277</v>
      </c>
      <c r="E244">
        <v>0</v>
      </c>
      <c r="F244" s="47">
        <v>0</v>
      </c>
      <c r="G244" t="s">
        <v>588</v>
      </c>
      <c r="H244" s="37">
        <v>0</v>
      </c>
      <c r="I244">
        <v>0</v>
      </c>
      <c r="J244" t="s">
        <v>182</v>
      </c>
    </row>
    <row r="245" spans="1:10" x14ac:dyDescent="0.25">
      <c r="A245" s="11">
        <v>11100203</v>
      </c>
      <c r="B245" s="50">
        <v>111002</v>
      </c>
      <c r="C245">
        <v>3</v>
      </c>
      <c r="D245" t="s">
        <v>280</v>
      </c>
      <c r="E245">
        <v>0</v>
      </c>
      <c r="F245" s="47">
        <v>0</v>
      </c>
      <c r="G245" t="s">
        <v>589</v>
      </c>
      <c r="H245" s="37">
        <v>0</v>
      </c>
      <c r="I245">
        <v>0</v>
      </c>
      <c r="J245" t="s">
        <v>182</v>
      </c>
    </row>
    <row r="246" spans="1:10" x14ac:dyDescent="0.25">
      <c r="A246" s="11">
        <v>11100204</v>
      </c>
      <c r="B246" s="50">
        <v>111002</v>
      </c>
      <c r="C246">
        <v>4</v>
      </c>
      <c r="D246" t="s">
        <v>283</v>
      </c>
      <c r="E246">
        <v>0</v>
      </c>
      <c r="F246" s="47">
        <v>0</v>
      </c>
      <c r="G246" t="s">
        <v>590</v>
      </c>
      <c r="H246" s="50">
        <v>0</v>
      </c>
      <c r="I246">
        <v>0</v>
      </c>
      <c r="J246" t="s">
        <v>182</v>
      </c>
    </row>
    <row r="247" spans="1:10" x14ac:dyDescent="0.25">
      <c r="A247" s="11">
        <v>11100205</v>
      </c>
      <c r="B247" s="50">
        <v>111002</v>
      </c>
      <c r="C247">
        <v>5</v>
      </c>
      <c r="D247" t="s">
        <v>287</v>
      </c>
      <c r="E247">
        <v>0</v>
      </c>
      <c r="F247" s="47">
        <v>0</v>
      </c>
      <c r="G247" t="s">
        <v>436</v>
      </c>
      <c r="H247" s="37">
        <v>0</v>
      </c>
      <c r="I247">
        <v>0</v>
      </c>
      <c r="J247" t="s">
        <v>182</v>
      </c>
    </row>
    <row r="248" spans="1:10" x14ac:dyDescent="0.25">
      <c r="A248" s="11">
        <v>11100206</v>
      </c>
      <c r="B248" s="50">
        <v>111002</v>
      </c>
      <c r="C248">
        <v>6</v>
      </c>
      <c r="D248" t="s">
        <v>290</v>
      </c>
      <c r="E248">
        <v>0</v>
      </c>
      <c r="F248" s="47">
        <v>0</v>
      </c>
      <c r="G248" t="s">
        <v>591</v>
      </c>
      <c r="H248" s="37">
        <v>0</v>
      </c>
      <c r="I248">
        <v>0</v>
      </c>
      <c r="J248" t="s">
        <v>182</v>
      </c>
    </row>
    <row r="249" spans="1:10" x14ac:dyDescent="0.25">
      <c r="A249" s="11">
        <v>11100207</v>
      </c>
      <c r="B249" s="50">
        <v>111002</v>
      </c>
      <c r="C249">
        <v>7</v>
      </c>
      <c r="D249" t="s">
        <v>293</v>
      </c>
      <c r="E249">
        <v>0</v>
      </c>
      <c r="F249" s="47">
        <v>0</v>
      </c>
      <c r="G249" t="s">
        <v>592</v>
      </c>
      <c r="H249" s="37">
        <v>0</v>
      </c>
      <c r="I249">
        <v>0</v>
      </c>
      <c r="J249" t="s">
        <v>182</v>
      </c>
    </row>
    <row r="250" spans="1:10" x14ac:dyDescent="0.25">
      <c r="A250" s="11">
        <v>11100208</v>
      </c>
      <c r="B250" s="50">
        <v>111002</v>
      </c>
      <c r="C250">
        <v>8</v>
      </c>
      <c r="D250" t="s">
        <v>297</v>
      </c>
      <c r="E250">
        <v>0</v>
      </c>
      <c r="F250" s="47">
        <v>0</v>
      </c>
      <c r="G250" t="s">
        <v>593</v>
      </c>
      <c r="H250" s="50">
        <v>0</v>
      </c>
      <c r="I250">
        <v>0</v>
      </c>
      <c r="J250" t="s">
        <v>182</v>
      </c>
    </row>
    <row r="251" spans="1:10" x14ac:dyDescent="0.25">
      <c r="A251" s="11">
        <v>11100209</v>
      </c>
      <c r="B251" s="50">
        <v>111002</v>
      </c>
      <c r="C251">
        <v>9</v>
      </c>
      <c r="D251" t="s">
        <v>300</v>
      </c>
      <c r="E251">
        <v>0</v>
      </c>
      <c r="F251" s="47">
        <v>0</v>
      </c>
      <c r="G251" t="s">
        <v>594</v>
      </c>
      <c r="H251" s="37">
        <v>0</v>
      </c>
      <c r="I251">
        <v>0</v>
      </c>
      <c r="J251" t="s">
        <v>182</v>
      </c>
    </row>
    <row r="252" spans="1:10" x14ac:dyDescent="0.25">
      <c r="A252" s="11">
        <v>11100210</v>
      </c>
      <c r="B252" s="50">
        <v>111002</v>
      </c>
      <c r="C252">
        <v>10</v>
      </c>
      <c r="D252" t="s">
        <v>304</v>
      </c>
      <c r="E252">
        <v>0</v>
      </c>
      <c r="F252" s="47">
        <v>0</v>
      </c>
      <c r="G252" t="s">
        <v>595</v>
      </c>
      <c r="H252" s="37">
        <v>0</v>
      </c>
      <c r="I252">
        <v>0</v>
      </c>
      <c r="J252" t="s">
        <v>182</v>
      </c>
    </row>
    <row r="253" spans="1:10" x14ac:dyDescent="0.25">
      <c r="A253" s="11">
        <v>10400301</v>
      </c>
      <c r="B253" s="50">
        <v>104003</v>
      </c>
      <c r="C253">
        <v>1</v>
      </c>
      <c r="D253" t="s">
        <v>273</v>
      </c>
      <c r="E253">
        <v>0</v>
      </c>
      <c r="F253" s="47" t="s">
        <v>274</v>
      </c>
      <c r="G253" t="s">
        <v>596</v>
      </c>
      <c r="H253" s="11">
        <v>10400301</v>
      </c>
      <c r="I253" t="s">
        <v>597</v>
      </c>
      <c r="J253" t="s">
        <v>185</v>
      </c>
    </row>
    <row r="254" spans="1:10" x14ac:dyDescent="0.25">
      <c r="A254" s="11">
        <v>10400302</v>
      </c>
      <c r="B254" s="50">
        <v>104003</v>
      </c>
      <c r="C254">
        <v>2</v>
      </c>
      <c r="D254" t="s">
        <v>277</v>
      </c>
      <c r="E254">
        <v>300</v>
      </c>
      <c r="F254" s="47" t="s">
        <v>598</v>
      </c>
      <c r="G254" t="s">
        <v>599</v>
      </c>
      <c r="H254" s="37">
        <v>0</v>
      </c>
      <c r="I254" t="s">
        <v>597</v>
      </c>
      <c r="J254" t="s">
        <v>185</v>
      </c>
    </row>
    <row r="255" spans="1:10" x14ac:dyDescent="0.25">
      <c r="A255" s="11">
        <v>10400303</v>
      </c>
      <c r="B255" s="50">
        <v>104003</v>
      </c>
      <c r="C255">
        <v>3</v>
      </c>
      <c r="D255" t="s">
        <v>280</v>
      </c>
      <c r="E255">
        <v>600</v>
      </c>
      <c r="F255" s="47" t="s">
        <v>341</v>
      </c>
      <c r="G255" t="s">
        <v>600</v>
      </c>
      <c r="H255" s="37">
        <v>0</v>
      </c>
      <c r="I255" t="s">
        <v>601</v>
      </c>
      <c r="J255" t="s">
        <v>185</v>
      </c>
    </row>
    <row r="256" spans="1:10" x14ac:dyDescent="0.25">
      <c r="A256" s="11">
        <v>10400304</v>
      </c>
      <c r="B256" s="50">
        <v>104003</v>
      </c>
      <c r="C256">
        <v>4</v>
      </c>
      <c r="D256" t="s">
        <v>283</v>
      </c>
      <c r="E256">
        <v>1200</v>
      </c>
      <c r="F256" s="47" t="s">
        <v>346</v>
      </c>
      <c r="G256" t="s">
        <v>602</v>
      </c>
      <c r="H256" s="11">
        <v>10400302</v>
      </c>
      <c r="I256" t="s">
        <v>601</v>
      </c>
      <c r="J256" t="s">
        <v>185</v>
      </c>
    </row>
    <row r="257" spans="1:10" x14ac:dyDescent="0.25">
      <c r="A257" s="11">
        <v>10400305</v>
      </c>
      <c r="B257" s="50">
        <v>104003</v>
      </c>
      <c r="C257">
        <v>5</v>
      </c>
      <c r="D257" t="s">
        <v>287</v>
      </c>
      <c r="E257">
        <v>2400</v>
      </c>
      <c r="F257" s="47" t="s">
        <v>361</v>
      </c>
      <c r="G257" t="s">
        <v>603</v>
      </c>
      <c r="H257" s="37">
        <v>0</v>
      </c>
      <c r="I257" t="s">
        <v>601</v>
      </c>
      <c r="J257" t="s">
        <v>185</v>
      </c>
    </row>
    <row r="258" spans="1:10" x14ac:dyDescent="0.25">
      <c r="A258" s="11">
        <v>10400306</v>
      </c>
      <c r="B258" s="50">
        <v>104003</v>
      </c>
      <c r="C258">
        <v>6</v>
      </c>
      <c r="D258" t="s">
        <v>290</v>
      </c>
      <c r="E258">
        <v>3600</v>
      </c>
      <c r="F258" s="47" t="s">
        <v>604</v>
      </c>
      <c r="G258" t="s">
        <v>605</v>
      </c>
      <c r="H258" s="37">
        <v>0</v>
      </c>
      <c r="I258" t="s">
        <v>606</v>
      </c>
      <c r="J258" t="s">
        <v>185</v>
      </c>
    </row>
    <row r="259" spans="1:10" x14ac:dyDescent="0.25">
      <c r="A259" s="11">
        <v>10400307</v>
      </c>
      <c r="B259" s="50">
        <v>104003</v>
      </c>
      <c r="C259">
        <v>7</v>
      </c>
      <c r="D259" t="s">
        <v>293</v>
      </c>
      <c r="E259">
        <v>4800</v>
      </c>
      <c r="F259" s="47" t="s">
        <v>607</v>
      </c>
      <c r="G259" t="s">
        <v>608</v>
      </c>
      <c r="H259" s="11">
        <v>10400303</v>
      </c>
      <c r="I259" t="s">
        <v>606</v>
      </c>
      <c r="J259" t="s">
        <v>185</v>
      </c>
    </row>
    <row r="260" spans="1:10" x14ac:dyDescent="0.25">
      <c r="A260" s="11">
        <v>10400308</v>
      </c>
      <c r="B260" s="50">
        <v>104003</v>
      </c>
      <c r="C260">
        <v>8</v>
      </c>
      <c r="D260" t="s">
        <v>297</v>
      </c>
      <c r="E260">
        <v>5600</v>
      </c>
      <c r="F260" s="47" t="s">
        <v>366</v>
      </c>
      <c r="G260" t="s">
        <v>609</v>
      </c>
      <c r="H260" s="1">
        <v>0</v>
      </c>
      <c r="I260" t="s">
        <v>165</v>
      </c>
      <c r="J260" t="s">
        <v>185</v>
      </c>
    </row>
    <row r="261" spans="1:10" x14ac:dyDescent="0.25">
      <c r="A261" s="11">
        <v>10400309</v>
      </c>
      <c r="B261" s="50">
        <v>104003</v>
      </c>
      <c r="C261">
        <v>9</v>
      </c>
      <c r="D261" t="s">
        <v>300</v>
      </c>
      <c r="E261">
        <v>10800</v>
      </c>
      <c r="F261" s="47" t="s">
        <v>610</v>
      </c>
      <c r="G261" t="s">
        <v>611</v>
      </c>
      <c r="H261" s="37">
        <v>0</v>
      </c>
      <c r="I261" t="s">
        <v>165</v>
      </c>
      <c r="J261" t="s">
        <v>185</v>
      </c>
    </row>
    <row r="262" spans="1:10" x14ac:dyDescent="0.25">
      <c r="A262" s="11">
        <v>10400310</v>
      </c>
      <c r="B262" s="50">
        <v>104003</v>
      </c>
      <c r="C262">
        <v>10</v>
      </c>
      <c r="D262" t="s">
        <v>304</v>
      </c>
      <c r="E262">
        <v>16400</v>
      </c>
      <c r="F262" s="47" t="s">
        <v>612</v>
      </c>
      <c r="G262" t="s">
        <v>613</v>
      </c>
      <c r="H262" s="11">
        <v>10400304</v>
      </c>
      <c r="I262" t="s">
        <v>165</v>
      </c>
      <c r="J262" t="s">
        <v>185</v>
      </c>
    </row>
    <row r="263" spans="1:10" x14ac:dyDescent="0.25">
      <c r="A263" s="11">
        <v>10800101</v>
      </c>
      <c r="B263" s="50">
        <v>108001</v>
      </c>
      <c r="C263">
        <v>1</v>
      </c>
      <c r="D263" t="s">
        <v>273</v>
      </c>
      <c r="E263">
        <v>0</v>
      </c>
      <c r="F263" s="47" t="s">
        <v>274</v>
      </c>
      <c r="G263" t="s">
        <v>614</v>
      </c>
      <c r="H263" s="11">
        <v>10800101</v>
      </c>
      <c r="I263" t="s">
        <v>414</v>
      </c>
      <c r="J263" t="s">
        <v>193</v>
      </c>
    </row>
    <row r="264" spans="1:10" x14ac:dyDescent="0.25">
      <c r="A264" s="11">
        <v>10800102</v>
      </c>
      <c r="B264" s="50">
        <v>108001</v>
      </c>
      <c r="C264">
        <v>2</v>
      </c>
      <c r="D264" t="s">
        <v>277</v>
      </c>
      <c r="E264">
        <v>50</v>
      </c>
      <c r="F264" s="47" t="s">
        <v>333</v>
      </c>
      <c r="G264" t="s">
        <v>615</v>
      </c>
      <c r="H264" s="37">
        <v>0</v>
      </c>
      <c r="I264" t="s">
        <v>414</v>
      </c>
      <c r="J264" t="s">
        <v>193</v>
      </c>
    </row>
    <row r="265" spans="1:10" x14ac:dyDescent="0.25">
      <c r="A265" s="11">
        <v>10800103</v>
      </c>
      <c r="B265" s="50">
        <v>108001</v>
      </c>
      <c r="C265">
        <v>3</v>
      </c>
      <c r="D265" t="s">
        <v>280</v>
      </c>
      <c r="E265">
        <v>100</v>
      </c>
      <c r="F265" s="47" t="s">
        <v>335</v>
      </c>
      <c r="G265" t="s">
        <v>616</v>
      </c>
      <c r="H265" s="37">
        <v>0</v>
      </c>
      <c r="I265" t="s">
        <v>417</v>
      </c>
      <c r="J265" t="s">
        <v>193</v>
      </c>
    </row>
    <row r="266" spans="1:10" x14ac:dyDescent="0.25">
      <c r="A266" s="11">
        <v>10800104</v>
      </c>
      <c r="B266" s="50">
        <v>108001</v>
      </c>
      <c r="C266">
        <v>4</v>
      </c>
      <c r="D266" t="s">
        <v>283</v>
      </c>
      <c r="E266">
        <v>150</v>
      </c>
      <c r="F266" s="47" t="s">
        <v>337</v>
      </c>
      <c r="G266" t="s">
        <v>617</v>
      </c>
      <c r="H266" s="11">
        <v>10800102</v>
      </c>
      <c r="I266" t="s">
        <v>417</v>
      </c>
      <c r="J266" t="s">
        <v>193</v>
      </c>
    </row>
    <row r="267" spans="1:10" x14ac:dyDescent="0.25">
      <c r="A267" s="11">
        <v>10800105</v>
      </c>
      <c r="B267" s="50">
        <v>108001</v>
      </c>
      <c r="C267">
        <v>5</v>
      </c>
      <c r="D267" t="s">
        <v>287</v>
      </c>
      <c r="E267">
        <v>250</v>
      </c>
      <c r="F267" s="47" t="s">
        <v>339</v>
      </c>
      <c r="G267" t="s">
        <v>618</v>
      </c>
      <c r="H267" s="37">
        <v>0</v>
      </c>
      <c r="I267" t="s">
        <v>417</v>
      </c>
      <c r="J267" t="s">
        <v>193</v>
      </c>
    </row>
    <row r="268" spans="1:10" x14ac:dyDescent="0.25">
      <c r="A268" s="11">
        <v>10800106</v>
      </c>
      <c r="B268" s="50">
        <v>108001</v>
      </c>
      <c r="C268">
        <v>6</v>
      </c>
      <c r="D268" t="s">
        <v>290</v>
      </c>
      <c r="E268">
        <v>400</v>
      </c>
      <c r="F268" s="47" t="s">
        <v>341</v>
      </c>
      <c r="G268" t="s">
        <v>619</v>
      </c>
      <c r="H268" s="37">
        <v>0</v>
      </c>
      <c r="I268" t="s">
        <v>417</v>
      </c>
      <c r="J268" t="s">
        <v>193</v>
      </c>
    </row>
    <row r="269" spans="1:10" x14ac:dyDescent="0.25">
      <c r="A269" s="11">
        <v>10800107</v>
      </c>
      <c r="B269" s="50">
        <v>108001</v>
      </c>
      <c r="C269">
        <v>7</v>
      </c>
      <c r="D269" t="s">
        <v>293</v>
      </c>
      <c r="E269">
        <v>650</v>
      </c>
      <c r="F269" s="47" t="s">
        <v>343</v>
      </c>
      <c r="G269" t="s">
        <v>620</v>
      </c>
      <c r="H269" s="37">
        <v>0</v>
      </c>
      <c r="I269" t="s">
        <v>472</v>
      </c>
      <c r="J269" t="s">
        <v>193</v>
      </c>
    </row>
    <row r="270" spans="1:10" x14ac:dyDescent="0.25">
      <c r="A270" s="11">
        <v>10800108</v>
      </c>
      <c r="B270" s="50">
        <v>108001</v>
      </c>
      <c r="C270">
        <v>8</v>
      </c>
      <c r="D270" t="s">
        <v>297</v>
      </c>
      <c r="E270">
        <v>900</v>
      </c>
      <c r="F270" s="47" t="s">
        <v>346</v>
      </c>
      <c r="G270" t="s">
        <v>621</v>
      </c>
      <c r="H270" s="11">
        <v>10800103</v>
      </c>
      <c r="I270" t="s">
        <v>472</v>
      </c>
      <c r="J270" t="s">
        <v>193</v>
      </c>
    </row>
    <row r="271" spans="1:10" x14ac:dyDescent="0.25">
      <c r="A271" s="11">
        <v>10800109</v>
      </c>
      <c r="B271" s="50">
        <v>108001</v>
      </c>
      <c r="C271">
        <v>9</v>
      </c>
      <c r="D271" t="s">
        <v>300</v>
      </c>
      <c r="E271">
        <v>1200</v>
      </c>
      <c r="F271" s="47" t="s">
        <v>348</v>
      </c>
      <c r="G271" t="s">
        <v>622</v>
      </c>
      <c r="H271" s="37">
        <v>0</v>
      </c>
      <c r="I271" t="s">
        <v>475</v>
      </c>
      <c r="J271" t="s">
        <v>193</v>
      </c>
    </row>
    <row r="272" spans="1:10" x14ac:dyDescent="0.25">
      <c r="A272" s="11">
        <v>10800110</v>
      </c>
      <c r="B272" s="50">
        <v>108001</v>
      </c>
      <c r="C272">
        <v>10</v>
      </c>
      <c r="D272" t="s">
        <v>304</v>
      </c>
      <c r="E272">
        <v>1500</v>
      </c>
      <c r="F272" s="47" t="s">
        <v>351</v>
      </c>
      <c r="G272" t="s">
        <v>623</v>
      </c>
      <c r="H272" s="37">
        <v>0</v>
      </c>
      <c r="I272" t="s">
        <v>477</v>
      </c>
      <c r="J272" t="s">
        <v>193</v>
      </c>
    </row>
    <row r="273" spans="1:10" x14ac:dyDescent="0.25">
      <c r="A273" s="23">
        <v>10100501</v>
      </c>
      <c r="B273">
        <v>101005</v>
      </c>
      <c r="C273">
        <v>1</v>
      </c>
      <c r="D273" t="s">
        <v>273</v>
      </c>
      <c r="E273">
        <v>0</v>
      </c>
      <c r="F273" s="47" t="s">
        <v>274</v>
      </c>
      <c r="G273" t="s">
        <v>624</v>
      </c>
      <c r="H273" s="23">
        <v>10100501</v>
      </c>
      <c r="I273" t="s">
        <v>625</v>
      </c>
      <c r="J273" t="s">
        <v>198</v>
      </c>
    </row>
    <row r="274" spans="1:10" x14ac:dyDescent="0.25">
      <c r="A274" s="23">
        <v>10100502</v>
      </c>
      <c r="B274">
        <v>101005</v>
      </c>
      <c r="C274">
        <v>2</v>
      </c>
      <c r="D274" t="s">
        <v>277</v>
      </c>
      <c r="E274">
        <v>50</v>
      </c>
      <c r="F274" s="47" t="s">
        <v>333</v>
      </c>
      <c r="G274" t="s">
        <v>626</v>
      </c>
      <c r="H274" s="37">
        <v>0</v>
      </c>
      <c r="I274" t="s">
        <v>625</v>
      </c>
      <c r="J274" t="s">
        <v>198</v>
      </c>
    </row>
    <row r="275" spans="1:10" x14ac:dyDescent="0.25">
      <c r="A275" s="23">
        <v>10100503</v>
      </c>
      <c r="B275">
        <v>101005</v>
      </c>
      <c r="C275">
        <v>3</v>
      </c>
      <c r="D275" t="s">
        <v>280</v>
      </c>
      <c r="E275">
        <v>100</v>
      </c>
      <c r="F275" s="47" t="s">
        <v>335</v>
      </c>
      <c r="G275" t="s">
        <v>627</v>
      </c>
      <c r="H275" s="37">
        <v>0</v>
      </c>
      <c r="I275" t="s">
        <v>628</v>
      </c>
      <c r="J275" t="s">
        <v>198</v>
      </c>
    </row>
    <row r="276" spans="1:10" x14ac:dyDescent="0.25">
      <c r="A276" s="23">
        <v>10100504</v>
      </c>
      <c r="B276">
        <v>101005</v>
      </c>
      <c r="C276">
        <v>4</v>
      </c>
      <c r="D276" t="s">
        <v>283</v>
      </c>
      <c r="E276">
        <v>150</v>
      </c>
      <c r="F276" s="47" t="s">
        <v>337</v>
      </c>
      <c r="G276" t="s">
        <v>629</v>
      </c>
      <c r="H276" s="23">
        <v>10100502</v>
      </c>
      <c r="I276" t="s">
        <v>628</v>
      </c>
      <c r="J276" t="s">
        <v>198</v>
      </c>
    </row>
    <row r="277" spans="1:10" x14ac:dyDescent="0.25">
      <c r="A277" s="23">
        <v>10100505</v>
      </c>
      <c r="B277">
        <v>101005</v>
      </c>
      <c r="C277">
        <v>5</v>
      </c>
      <c r="D277" t="s">
        <v>287</v>
      </c>
      <c r="E277">
        <v>250</v>
      </c>
      <c r="F277" s="47" t="s">
        <v>339</v>
      </c>
      <c r="G277" t="s">
        <v>630</v>
      </c>
      <c r="H277" s="37">
        <v>0</v>
      </c>
      <c r="I277" t="s">
        <v>628</v>
      </c>
      <c r="J277" t="s">
        <v>198</v>
      </c>
    </row>
    <row r="278" spans="1:10" x14ac:dyDescent="0.25">
      <c r="A278" s="23">
        <v>10100506</v>
      </c>
      <c r="B278">
        <v>101005</v>
      </c>
      <c r="C278">
        <v>6</v>
      </c>
      <c r="D278" t="s">
        <v>290</v>
      </c>
      <c r="E278">
        <v>400</v>
      </c>
      <c r="F278" s="47" t="s">
        <v>341</v>
      </c>
      <c r="G278" t="s">
        <v>631</v>
      </c>
      <c r="H278" s="37">
        <v>0</v>
      </c>
      <c r="I278" t="s">
        <v>628</v>
      </c>
      <c r="J278" t="s">
        <v>198</v>
      </c>
    </row>
    <row r="279" spans="1:10" x14ac:dyDescent="0.25">
      <c r="A279" s="23">
        <v>10100507</v>
      </c>
      <c r="B279">
        <v>101005</v>
      </c>
      <c r="C279">
        <v>7</v>
      </c>
      <c r="D279" t="s">
        <v>293</v>
      </c>
      <c r="E279">
        <v>650</v>
      </c>
      <c r="F279" s="47" t="s">
        <v>343</v>
      </c>
      <c r="G279" t="s">
        <v>632</v>
      </c>
      <c r="H279" s="37">
        <v>0</v>
      </c>
      <c r="I279" t="s">
        <v>633</v>
      </c>
      <c r="J279" t="s">
        <v>198</v>
      </c>
    </row>
    <row r="280" spans="1:10" x14ac:dyDescent="0.25">
      <c r="A280" s="23">
        <v>10100508</v>
      </c>
      <c r="B280">
        <v>101005</v>
      </c>
      <c r="C280">
        <v>8</v>
      </c>
      <c r="D280" t="s">
        <v>297</v>
      </c>
      <c r="E280">
        <v>900</v>
      </c>
      <c r="F280" s="47" t="s">
        <v>346</v>
      </c>
      <c r="G280" t="s">
        <v>634</v>
      </c>
      <c r="H280" s="23">
        <v>10100503</v>
      </c>
      <c r="I280" t="s">
        <v>633</v>
      </c>
      <c r="J280" t="s">
        <v>198</v>
      </c>
    </row>
    <row r="281" spans="1:10" x14ac:dyDescent="0.25">
      <c r="A281" s="23">
        <v>10100509</v>
      </c>
      <c r="B281">
        <v>101005</v>
      </c>
      <c r="C281">
        <v>9</v>
      </c>
      <c r="D281" t="s">
        <v>300</v>
      </c>
      <c r="E281">
        <v>1200</v>
      </c>
      <c r="F281" s="47" t="s">
        <v>348</v>
      </c>
      <c r="G281" t="s">
        <v>635</v>
      </c>
      <c r="H281" s="37">
        <v>0</v>
      </c>
      <c r="I281" t="s">
        <v>636</v>
      </c>
      <c r="J281" t="s">
        <v>198</v>
      </c>
    </row>
    <row r="282" spans="1:10" x14ac:dyDescent="0.25">
      <c r="A282" s="23">
        <v>10100510</v>
      </c>
      <c r="B282">
        <v>101005</v>
      </c>
      <c r="C282">
        <v>10</v>
      </c>
      <c r="D282" t="s">
        <v>304</v>
      </c>
      <c r="E282">
        <v>1500</v>
      </c>
      <c r="F282" s="47" t="s">
        <v>351</v>
      </c>
      <c r="G282" t="s">
        <v>637</v>
      </c>
      <c r="H282" s="37">
        <v>0</v>
      </c>
      <c r="I282" t="s">
        <v>638</v>
      </c>
      <c r="J282" t="s">
        <v>198</v>
      </c>
    </row>
    <row r="283" spans="1:10" x14ac:dyDescent="0.25">
      <c r="A283" s="11">
        <v>10200501</v>
      </c>
      <c r="B283">
        <v>102005</v>
      </c>
      <c r="C283">
        <v>1</v>
      </c>
      <c r="D283" t="s">
        <v>273</v>
      </c>
      <c r="E283">
        <v>0</v>
      </c>
      <c r="F283" s="47" t="s">
        <v>274</v>
      </c>
      <c r="G283" t="s">
        <v>639</v>
      </c>
      <c r="H283" s="11">
        <v>10200501</v>
      </c>
      <c r="I283" t="s">
        <v>329</v>
      </c>
      <c r="J283" t="s">
        <v>205</v>
      </c>
    </row>
    <row r="284" spans="1:10" x14ac:dyDescent="0.25">
      <c r="A284" s="11">
        <v>10200502</v>
      </c>
      <c r="B284">
        <v>102005</v>
      </c>
      <c r="C284">
        <v>2</v>
      </c>
      <c r="D284" t="s">
        <v>277</v>
      </c>
      <c r="E284">
        <v>50</v>
      </c>
      <c r="F284" s="47" t="s">
        <v>333</v>
      </c>
      <c r="G284" t="s">
        <v>640</v>
      </c>
      <c r="H284" s="37">
        <v>0</v>
      </c>
      <c r="I284" t="s">
        <v>329</v>
      </c>
      <c r="J284" t="s">
        <v>205</v>
      </c>
    </row>
    <row r="285" spans="1:10" x14ac:dyDescent="0.25">
      <c r="A285" s="11">
        <v>10200503</v>
      </c>
      <c r="B285">
        <v>102005</v>
      </c>
      <c r="C285">
        <v>3</v>
      </c>
      <c r="D285" t="s">
        <v>280</v>
      </c>
      <c r="E285">
        <v>100</v>
      </c>
      <c r="F285" s="47" t="s">
        <v>335</v>
      </c>
      <c r="G285" t="s">
        <v>641</v>
      </c>
      <c r="H285" s="37">
        <v>0</v>
      </c>
      <c r="I285" t="s">
        <v>331</v>
      </c>
      <c r="J285" t="s">
        <v>205</v>
      </c>
    </row>
    <row r="286" spans="1:10" x14ac:dyDescent="0.25">
      <c r="A286" s="11">
        <v>10200504</v>
      </c>
      <c r="B286">
        <v>102005</v>
      </c>
      <c r="C286">
        <v>4</v>
      </c>
      <c r="D286" t="s">
        <v>283</v>
      </c>
      <c r="E286">
        <v>150</v>
      </c>
      <c r="F286" s="47" t="s">
        <v>337</v>
      </c>
      <c r="G286" t="s">
        <v>642</v>
      </c>
      <c r="H286" s="11">
        <v>10200502</v>
      </c>
      <c r="I286" t="s">
        <v>331</v>
      </c>
      <c r="J286" t="s">
        <v>205</v>
      </c>
    </row>
    <row r="287" spans="1:10" x14ac:dyDescent="0.25">
      <c r="A287" s="11">
        <v>10200505</v>
      </c>
      <c r="B287">
        <v>102005</v>
      </c>
      <c r="C287">
        <v>5</v>
      </c>
      <c r="D287" t="s">
        <v>287</v>
      </c>
      <c r="E287">
        <v>250</v>
      </c>
      <c r="F287" s="47" t="s">
        <v>339</v>
      </c>
      <c r="G287" t="s">
        <v>643</v>
      </c>
      <c r="H287" s="37">
        <v>0</v>
      </c>
      <c r="I287" t="s">
        <v>331</v>
      </c>
      <c r="J287" t="s">
        <v>205</v>
      </c>
    </row>
    <row r="288" spans="1:10" x14ac:dyDescent="0.25">
      <c r="A288" s="11">
        <v>10200506</v>
      </c>
      <c r="B288">
        <v>102005</v>
      </c>
      <c r="C288">
        <v>6</v>
      </c>
      <c r="D288" t="s">
        <v>290</v>
      </c>
      <c r="E288">
        <v>400</v>
      </c>
      <c r="F288" s="47" t="s">
        <v>341</v>
      </c>
      <c r="G288" t="s">
        <v>644</v>
      </c>
      <c r="H288" s="37">
        <v>0</v>
      </c>
      <c r="I288" t="s">
        <v>331</v>
      </c>
      <c r="J288" t="s">
        <v>205</v>
      </c>
    </row>
    <row r="289" spans="1:10" x14ac:dyDescent="0.25">
      <c r="A289" s="11">
        <v>10200507</v>
      </c>
      <c r="B289">
        <v>102005</v>
      </c>
      <c r="C289">
        <v>7</v>
      </c>
      <c r="D289" t="s">
        <v>293</v>
      </c>
      <c r="E289">
        <v>650</v>
      </c>
      <c r="F289" s="47" t="s">
        <v>343</v>
      </c>
      <c r="G289" t="s">
        <v>645</v>
      </c>
      <c r="H289" s="37">
        <v>0</v>
      </c>
      <c r="I289" t="s">
        <v>345</v>
      </c>
      <c r="J289" t="s">
        <v>205</v>
      </c>
    </row>
    <row r="290" spans="1:10" x14ac:dyDescent="0.25">
      <c r="A290" s="11">
        <v>10200508</v>
      </c>
      <c r="B290">
        <v>102005</v>
      </c>
      <c r="C290">
        <v>8</v>
      </c>
      <c r="D290" t="s">
        <v>297</v>
      </c>
      <c r="E290">
        <v>900</v>
      </c>
      <c r="F290" s="47" t="s">
        <v>346</v>
      </c>
      <c r="G290" t="s">
        <v>646</v>
      </c>
      <c r="H290" s="11">
        <v>10200503</v>
      </c>
      <c r="I290" t="s">
        <v>345</v>
      </c>
      <c r="J290" t="s">
        <v>205</v>
      </c>
    </row>
    <row r="291" spans="1:10" x14ac:dyDescent="0.25">
      <c r="A291" s="11">
        <v>10200509</v>
      </c>
      <c r="B291">
        <v>102005</v>
      </c>
      <c r="C291">
        <v>9</v>
      </c>
      <c r="D291" t="s">
        <v>300</v>
      </c>
      <c r="E291">
        <v>1200</v>
      </c>
      <c r="F291" s="47" t="s">
        <v>348</v>
      </c>
      <c r="G291" t="s">
        <v>647</v>
      </c>
      <c r="H291" s="37">
        <v>0</v>
      </c>
      <c r="I291" t="s">
        <v>350</v>
      </c>
      <c r="J291" t="s">
        <v>205</v>
      </c>
    </row>
    <row r="292" spans="1:10" x14ac:dyDescent="0.25">
      <c r="A292" s="11">
        <v>10200510</v>
      </c>
      <c r="B292">
        <v>102005</v>
      </c>
      <c r="C292">
        <v>10</v>
      </c>
      <c r="D292" t="s">
        <v>304</v>
      </c>
      <c r="E292">
        <v>1500</v>
      </c>
      <c r="F292" s="47" t="s">
        <v>351</v>
      </c>
      <c r="G292" t="s">
        <v>648</v>
      </c>
      <c r="H292" s="37">
        <v>0</v>
      </c>
      <c r="I292" t="s">
        <v>353</v>
      </c>
      <c r="J292" t="s">
        <v>205</v>
      </c>
    </row>
    <row r="293" spans="1:10" x14ac:dyDescent="0.25">
      <c r="A293" s="11">
        <v>20400101</v>
      </c>
      <c r="B293">
        <v>204001</v>
      </c>
      <c r="C293">
        <v>1</v>
      </c>
      <c r="D293" t="s">
        <v>273</v>
      </c>
      <c r="E293">
        <v>0</v>
      </c>
      <c r="F293" s="47" t="s">
        <v>274</v>
      </c>
      <c r="G293" t="s">
        <v>649</v>
      </c>
      <c r="H293" s="11">
        <v>20400101</v>
      </c>
      <c r="I293" t="s">
        <v>448</v>
      </c>
      <c r="J293" t="s">
        <v>211</v>
      </c>
    </row>
    <row r="294" spans="1:10" x14ac:dyDescent="0.25">
      <c r="A294" s="11">
        <v>20400102</v>
      </c>
      <c r="B294">
        <v>204001</v>
      </c>
      <c r="C294">
        <v>2</v>
      </c>
      <c r="D294" t="s">
        <v>277</v>
      </c>
      <c r="E294">
        <v>50</v>
      </c>
      <c r="F294" s="47" t="s">
        <v>333</v>
      </c>
      <c r="G294" t="s">
        <v>650</v>
      </c>
      <c r="H294" s="37">
        <v>0</v>
      </c>
      <c r="I294" t="s">
        <v>448</v>
      </c>
      <c r="J294" t="s">
        <v>211</v>
      </c>
    </row>
    <row r="295" spans="1:10" x14ac:dyDescent="0.25">
      <c r="A295" s="11">
        <v>20400103</v>
      </c>
      <c r="B295">
        <v>204001</v>
      </c>
      <c r="C295">
        <v>3</v>
      </c>
      <c r="D295" t="s">
        <v>280</v>
      </c>
      <c r="E295">
        <v>100</v>
      </c>
      <c r="F295" s="47" t="s">
        <v>335</v>
      </c>
      <c r="G295" t="s">
        <v>651</v>
      </c>
      <c r="H295" s="37">
        <v>0</v>
      </c>
      <c r="I295" t="s">
        <v>451</v>
      </c>
      <c r="J295" t="s">
        <v>211</v>
      </c>
    </row>
    <row r="296" spans="1:10" x14ac:dyDescent="0.25">
      <c r="A296" s="11">
        <v>20400104</v>
      </c>
      <c r="B296">
        <v>204001</v>
      </c>
      <c r="C296">
        <v>4</v>
      </c>
      <c r="D296" t="s">
        <v>283</v>
      </c>
      <c r="E296">
        <v>150</v>
      </c>
      <c r="F296" s="47" t="s">
        <v>337</v>
      </c>
      <c r="G296" t="s">
        <v>447</v>
      </c>
      <c r="H296" s="11">
        <v>20400102</v>
      </c>
      <c r="I296" t="s">
        <v>451</v>
      </c>
      <c r="J296" t="s">
        <v>211</v>
      </c>
    </row>
    <row r="297" spans="1:10" x14ac:dyDescent="0.25">
      <c r="A297" s="11">
        <v>20400105</v>
      </c>
      <c r="B297">
        <v>204001</v>
      </c>
      <c r="C297">
        <v>5</v>
      </c>
      <c r="D297" t="s">
        <v>287</v>
      </c>
      <c r="E297">
        <v>250</v>
      </c>
      <c r="F297" s="47" t="s">
        <v>339</v>
      </c>
      <c r="G297" t="s">
        <v>652</v>
      </c>
      <c r="H297" s="37">
        <v>0</v>
      </c>
      <c r="I297" t="s">
        <v>451</v>
      </c>
      <c r="J297" t="s">
        <v>211</v>
      </c>
    </row>
    <row r="298" spans="1:10" x14ac:dyDescent="0.25">
      <c r="A298" s="11">
        <v>20400106</v>
      </c>
      <c r="B298">
        <v>204001</v>
      </c>
      <c r="C298">
        <v>6</v>
      </c>
      <c r="D298" t="s">
        <v>290</v>
      </c>
      <c r="E298">
        <v>400</v>
      </c>
      <c r="F298" s="47" t="s">
        <v>341</v>
      </c>
      <c r="G298" t="s">
        <v>653</v>
      </c>
      <c r="H298" s="37">
        <v>0</v>
      </c>
      <c r="I298" t="s">
        <v>451</v>
      </c>
      <c r="J298" t="s">
        <v>211</v>
      </c>
    </row>
    <row r="299" spans="1:10" x14ac:dyDescent="0.25">
      <c r="A299" s="11">
        <v>20400107</v>
      </c>
      <c r="B299">
        <v>204001</v>
      </c>
      <c r="C299">
        <v>7</v>
      </c>
      <c r="D299" t="s">
        <v>293</v>
      </c>
      <c r="E299">
        <v>650</v>
      </c>
      <c r="F299" s="47" t="s">
        <v>343</v>
      </c>
      <c r="G299" t="s">
        <v>540</v>
      </c>
      <c r="H299" s="37">
        <v>0</v>
      </c>
      <c r="I299" t="s">
        <v>539</v>
      </c>
      <c r="J299" t="s">
        <v>211</v>
      </c>
    </row>
    <row r="300" spans="1:10" x14ac:dyDescent="0.25">
      <c r="A300" s="11">
        <v>20400108</v>
      </c>
      <c r="B300">
        <v>204001</v>
      </c>
      <c r="C300">
        <v>8</v>
      </c>
      <c r="D300" t="s">
        <v>297</v>
      </c>
      <c r="E300">
        <v>900</v>
      </c>
      <c r="F300" s="47" t="s">
        <v>346</v>
      </c>
      <c r="G300" t="s">
        <v>654</v>
      </c>
      <c r="H300" s="11">
        <v>20400103</v>
      </c>
      <c r="I300" t="s">
        <v>539</v>
      </c>
      <c r="J300" t="s">
        <v>211</v>
      </c>
    </row>
    <row r="301" spans="1:10" x14ac:dyDescent="0.25">
      <c r="A301" s="11">
        <v>20400109</v>
      </c>
      <c r="B301">
        <v>204001</v>
      </c>
      <c r="C301">
        <v>9</v>
      </c>
      <c r="D301" t="s">
        <v>300</v>
      </c>
      <c r="E301">
        <v>1200</v>
      </c>
      <c r="F301" s="47" t="s">
        <v>348</v>
      </c>
      <c r="G301" t="s">
        <v>655</v>
      </c>
      <c r="H301" s="37">
        <v>0</v>
      </c>
      <c r="I301" t="s">
        <v>542</v>
      </c>
      <c r="J301" t="s">
        <v>211</v>
      </c>
    </row>
    <row r="302" spans="1:10" x14ac:dyDescent="0.25">
      <c r="A302" s="11">
        <v>20400110</v>
      </c>
      <c r="B302">
        <v>204001</v>
      </c>
      <c r="C302">
        <v>10</v>
      </c>
      <c r="D302" t="s">
        <v>304</v>
      </c>
      <c r="E302">
        <v>1500</v>
      </c>
      <c r="F302" s="47" t="s">
        <v>351</v>
      </c>
      <c r="G302" t="s">
        <v>656</v>
      </c>
      <c r="H302" s="37">
        <v>0</v>
      </c>
      <c r="I302" t="s">
        <v>544</v>
      </c>
      <c r="J302" t="s">
        <v>211</v>
      </c>
    </row>
    <row r="303" spans="1:10" x14ac:dyDescent="0.25">
      <c r="A303" s="11">
        <v>30000301</v>
      </c>
      <c r="B303">
        <v>300003</v>
      </c>
      <c r="C303">
        <v>1</v>
      </c>
      <c r="D303" t="s">
        <v>273</v>
      </c>
      <c r="E303">
        <v>0</v>
      </c>
      <c r="F303" s="47" t="s">
        <v>274</v>
      </c>
      <c r="G303" s="23" t="s">
        <v>657</v>
      </c>
      <c r="H303" s="11">
        <v>30000301</v>
      </c>
      <c r="I303" t="s">
        <v>488</v>
      </c>
      <c r="J303" t="s">
        <v>217</v>
      </c>
    </row>
    <row r="304" spans="1:10" x14ac:dyDescent="0.25">
      <c r="A304" s="11">
        <v>30000302</v>
      </c>
      <c r="B304">
        <v>300003</v>
      </c>
      <c r="C304">
        <v>2</v>
      </c>
      <c r="D304" t="s">
        <v>277</v>
      </c>
      <c r="E304">
        <v>50</v>
      </c>
      <c r="F304" s="47" t="s">
        <v>333</v>
      </c>
      <c r="G304" s="23" t="s">
        <v>658</v>
      </c>
      <c r="H304" s="37">
        <v>0</v>
      </c>
      <c r="I304" t="s">
        <v>488</v>
      </c>
      <c r="J304" t="s">
        <v>217</v>
      </c>
    </row>
    <row r="305" spans="1:11" x14ac:dyDescent="0.25">
      <c r="A305" s="11">
        <v>30000303</v>
      </c>
      <c r="B305">
        <v>300003</v>
      </c>
      <c r="C305">
        <v>3</v>
      </c>
      <c r="D305" t="s">
        <v>280</v>
      </c>
      <c r="E305">
        <v>100</v>
      </c>
      <c r="F305" s="47" t="s">
        <v>335</v>
      </c>
      <c r="G305" s="23" t="s">
        <v>659</v>
      </c>
      <c r="H305" s="37">
        <v>0</v>
      </c>
      <c r="I305" t="s">
        <v>491</v>
      </c>
      <c r="J305" t="s">
        <v>217</v>
      </c>
    </row>
    <row r="306" spans="1:11" x14ac:dyDescent="0.25">
      <c r="A306" s="11">
        <v>30000304</v>
      </c>
      <c r="B306">
        <v>300003</v>
      </c>
      <c r="C306">
        <v>4</v>
      </c>
      <c r="D306" t="s">
        <v>283</v>
      </c>
      <c r="E306">
        <v>150</v>
      </c>
      <c r="F306" s="47" t="s">
        <v>337</v>
      </c>
      <c r="G306" s="23" t="s">
        <v>660</v>
      </c>
      <c r="H306" s="11">
        <v>30000302</v>
      </c>
      <c r="I306" t="s">
        <v>491</v>
      </c>
      <c r="J306" t="s">
        <v>217</v>
      </c>
    </row>
    <row r="307" spans="1:11" x14ac:dyDescent="0.25">
      <c r="A307" s="11">
        <v>30000305</v>
      </c>
      <c r="B307">
        <v>300003</v>
      </c>
      <c r="C307">
        <v>5</v>
      </c>
      <c r="D307" t="s">
        <v>287</v>
      </c>
      <c r="E307">
        <v>250</v>
      </c>
      <c r="F307" s="47" t="s">
        <v>339</v>
      </c>
      <c r="G307" s="23" t="s">
        <v>661</v>
      </c>
      <c r="H307" s="37">
        <v>0</v>
      </c>
      <c r="I307" t="s">
        <v>491</v>
      </c>
      <c r="J307" t="s">
        <v>217</v>
      </c>
    </row>
    <row r="308" spans="1:11" x14ac:dyDescent="0.25">
      <c r="A308" s="11">
        <v>30000306</v>
      </c>
      <c r="B308">
        <v>300003</v>
      </c>
      <c r="C308">
        <v>6</v>
      </c>
      <c r="D308" t="s">
        <v>290</v>
      </c>
      <c r="E308">
        <v>400</v>
      </c>
      <c r="F308" s="47" t="s">
        <v>341</v>
      </c>
      <c r="G308" s="23" t="s">
        <v>662</v>
      </c>
      <c r="H308" s="37">
        <v>0</v>
      </c>
      <c r="I308" t="s">
        <v>491</v>
      </c>
      <c r="J308" t="s">
        <v>217</v>
      </c>
    </row>
    <row r="309" spans="1:11" x14ac:dyDescent="0.25">
      <c r="A309" s="11">
        <v>30000307</v>
      </c>
      <c r="B309">
        <v>300003</v>
      </c>
      <c r="C309">
        <v>7</v>
      </c>
      <c r="D309" t="s">
        <v>293</v>
      </c>
      <c r="E309">
        <v>650</v>
      </c>
      <c r="F309" s="47" t="s">
        <v>343</v>
      </c>
      <c r="G309" s="23" t="s">
        <v>663</v>
      </c>
      <c r="H309" s="37">
        <v>0</v>
      </c>
      <c r="I309" t="s">
        <v>533</v>
      </c>
      <c r="J309" t="s">
        <v>217</v>
      </c>
    </row>
    <row r="310" spans="1:11" x14ac:dyDescent="0.25">
      <c r="A310" s="11">
        <v>30000308</v>
      </c>
      <c r="B310">
        <v>300003</v>
      </c>
      <c r="C310">
        <v>8</v>
      </c>
      <c r="D310" t="s">
        <v>297</v>
      </c>
      <c r="E310">
        <v>900</v>
      </c>
      <c r="F310" s="47" t="s">
        <v>346</v>
      </c>
      <c r="G310" s="23" t="s">
        <v>664</v>
      </c>
      <c r="H310" s="11">
        <v>30000303</v>
      </c>
      <c r="I310" t="s">
        <v>533</v>
      </c>
      <c r="J310" t="s">
        <v>217</v>
      </c>
    </row>
    <row r="311" spans="1:11" x14ac:dyDescent="0.25">
      <c r="A311" s="11">
        <v>30000309</v>
      </c>
      <c r="B311">
        <v>300003</v>
      </c>
      <c r="C311">
        <v>9</v>
      </c>
      <c r="D311" t="s">
        <v>300</v>
      </c>
      <c r="E311">
        <v>1200</v>
      </c>
      <c r="F311" s="47" t="s">
        <v>348</v>
      </c>
      <c r="G311" s="23" t="s">
        <v>665</v>
      </c>
      <c r="H311" s="37">
        <v>0</v>
      </c>
      <c r="I311" t="s">
        <v>536</v>
      </c>
      <c r="J311" t="s">
        <v>217</v>
      </c>
    </row>
    <row r="312" spans="1:11" x14ac:dyDescent="0.25">
      <c r="A312" s="11">
        <v>30000310</v>
      </c>
      <c r="B312">
        <v>300003</v>
      </c>
      <c r="C312">
        <v>10</v>
      </c>
      <c r="D312" t="s">
        <v>304</v>
      </c>
      <c r="E312">
        <v>1500</v>
      </c>
      <c r="F312" s="47" t="s">
        <v>351</v>
      </c>
      <c r="G312" s="23" t="s">
        <v>666</v>
      </c>
      <c r="H312" s="37">
        <v>0</v>
      </c>
      <c r="I312" t="s">
        <v>538</v>
      </c>
      <c r="J312" t="s">
        <v>217</v>
      </c>
    </row>
    <row r="313" spans="1:11" x14ac:dyDescent="0.25">
      <c r="A313">
        <v>10190201</v>
      </c>
      <c r="B313">
        <v>101902</v>
      </c>
      <c r="C313">
        <v>1</v>
      </c>
      <c r="D313" t="s">
        <v>273</v>
      </c>
      <c r="E313">
        <v>0</v>
      </c>
      <c r="F313" s="47" t="s">
        <v>274</v>
      </c>
      <c r="G313" t="s">
        <v>307</v>
      </c>
      <c r="H313" s="1">
        <v>10190201</v>
      </c>
      <c r="I313" t="s">
        <v>286</v>
      </c>
      <c r="J313" t="s">
        <v>223</v>
      </c>
      <c r="K313" s="1"/>
    </row>
    <row r="314" spans="1:11" x14ac:dyDescent="0.25">
      <c r="A314">
        <v>10190202</v>
      </c>
      <c r="B314">
        <v>101902</v>
      </c>
      <c r="C314">
        <v>2</v>
      </c>
      <c r="D314" t="s">
        <v>277</v>
      </c>
      <c r="E314">
        <v>20</v>
      </c>
      <c r="F314" s="47" t="s">
        <v>278</v>
      </c>
      <c r="G314" t="s">
        <v>308</v>
      </c>
      <c r="H314" s="37">
        <v>0</v>
      </c>
      <c r="I314" t="s">
        <v>286</v>
      </c>
      <c r="J314" t="s">
        <v>223</v>
      </c>
    </row>
    <row r="315" spans="1:11" x14ac:dyDescent="0.25">
      <c r="A315">
        <v>10190203</v>
      </c>
      <c r="B315">
        <v>101902</v>
      </c>
      <c r="C315">
        <v>3</v>
      </c>
      <c r="D315" t="s">
        <v>280</v>
      </c>
      <c r="E315">
        <v>30</v>
      </c>
      <c r="F315" s="47" t="s">
        <v>281</v>
      </c>
      <c r="G315" t="s">
        <v>309</v>
      </c>
      <c r="H315" s="37">
        <v>0</v>
      </c>
      <c r="I315" t="s">
        <v>286</v>
      </c>
      <c r="J315" t="s">
        <v>223</v>
      </c>
    </row>
    <row r="316" spans="1:11" x14ac:dyDescent="0.25">
      <c r="A316">
        <v>10190204</v>
      </c>
      <c r="B316">
        <v>101902</v>
      </c>
      <c r="C316">
        <v>4</v>
      </c>
      <c r="D316" t="s">
        <v>283</v>
      </c>
      <c r="E316">
        <v>50</v>
      </c>
      <c r="F316" s="47" t="s">
        <v>284</v>
      </c>
      <c r="G316" t="s">
        <v>310</v>
      </c>
      <c r="H316" s="37">
        <v>0</v>
      </c>
      <c r="I316" t="s">
        <v>286</v>
      </c>
      <c r="J316" t="s">
        <v>223</v>
      </c>
    </row>
    <row r="317" spans="1:11" x14ac:dyDescent="0.25">
      <c r="A317">
        <v>10190205</v>
      </c>
      <c r="B317">
        <v>101902</v>
      </c>
      <c r="C317">
        <v>5</v>
      </c>
      <c r="D317" t="s">
        <v>287</v>
      </c>
      <c r="E317">
        <v>80</v>
      </c>
      <c r="F317" s="47" t="s">
        <v>288</v>
      </c>
      <c r="G317" t="s">
        <v>311</v>
      </c>
      <c r="H317" s="37">
        <v>0</v>
      </c>
      <c r="I317" t="s">
        <v>296</v>
      </c>
      <c r="J317" t="s">
        <v>223</v>
      </c>
    </row>
    <row r="318" spans="1:11" x14ac:dyDescent="0.25">
      <c r="A318">
        <v>10190206</v>
      </c>
      <c r="B318">
        <v>101902</v>
      </c>
      <c r="C318">
        <v>6</v>
      </c>
      <c r="D318" t="s">
        <v>290</v>
      </c>
      <c r="E318">
        <v>130</v>
      </c>
      <c r="F318" s="47" t="s">
        <v>291</v>
      </c>
      <c r="G318" t="s">
        <v>312</v>
      </c>
      <c r="H318" s="1">
        <v>10190202</v>
      </c>
      <c r="I318" t="s">
        <v>296</v>
      </c>
      <c r="J318" t="s">
        <v>223</v>
      </c>
    </row>
    <row r="319" spans="1:11" x14ac:dyDescent="0.25">
      <c r="A319">
        <v>10190207</v>
      </c>
      <c r="B319">
        <v>101902</v>
      </c>
      <c r="C319">
        <v>7</v>
      </c>
      <c r="D319" t="s">
        <v>293</v>
      </c>
      <c r="E319">
        <v>210</v>
      </c>
      <c r="F319" s="47" t="s">
        <v>294</v>
      </c>
      <c r="G319" t="s">
        <v>313</v>
      </c>
      <c r="H319" s="37">
        <v>0</v>
      </c>
      <c r="I319" t="s">
        <v>296</v>
      </c>
      <c r="J319" t="s">
        <v>223</v>
      </c>
    </row>
    <row r="320" spans="1:11" x14ac:dyDescent="0.25">
      <c r="A320">
        <v>10190208</v>
      </c>
      <c r="B320">
        <v>101902</v>
      </c>
      <c r="C320">
        <v>8</v>
      </c>
      <c r="D320" t="s">
        <v>297</v>
      </c>
      <c r="E320">
        <v>340</v>
      </c>
      <c r="F320" s="47" t="s">
        <v>298</v>
      </c>
      <c r="G320" t="s">
        <v>314</v>
      </c>
      <c r="H320" s="37">
        <v>0</v>
      </c>
      <c r="I320" t="s">
        <v>303</v>
      </c>
      <c r="J320" t="s">
        <v>223</v>
      </c>
    </row>
    <row r="321" spans="1:10" x14ac:dyDescent="0.25">
      <c r="A321">
        <v>10190209</v>
      </c>
      <c r="B321">
        <v>101902</v>
      </c>
      <c r="C321">
        <v>9</v>
      </c>
      <c r="D321" t="s">
        <v>300</v>
      </c>
      <c r="E321">
        <v>550</v>
      </c>
      <c r="F321" s="47" t="s">
        <v>301</v>
      </c>
      <c r="G321" t="s">
        <v>315</v>
      </c>
      <c r="H321" s="37">
        <v>0</v>
      </c>
      <c r="I321" t="s">
        <v>303</v>
      </c>
      <c r="J321" t="s">
        <v>223</v>
      </c>
    </row>
    <row r="322" spans="1:10" x14ac:dyDescent="0.25">
      <c r="A322">
        <v>10190210</v>
      </c>
      <c r="B322">
        <v>101902</v>
      </c>
      <c r="C322">
        <v>10</v>
      </c>
      <c r="D322" t="s">
        <v>304</v>
      </c>
      <c r="E322">
        <v>890</v>
      </c>
      <c r="F322" s="47" t="s">
        <v>305</v>
      </c>
      <c r="G322" t="s">
        <v>316</v>
      </c>
      <c r="H322" s="37">
        <v>0</v>
      </c>
      <c r="I322" t="s">
        <v>38</v>
      </c>
      <c r="J322" t="s">
        <v>223</v>
      </c>
    </row>
    <row r="323" spans="1:10" x14ac:dyDescent="0.25">
      <c r="A323">
        <v>10390201</v>
      </c>
      <c r="B323">
        <v>103902</v>
      </c>
      <c r="C323">
        <v>1</v>
      </c>
      <c r="D323" t="s">
        <v>273</v>
      </c>
      <c r="E323">
        <v>0</v>
      </c>
      <c r="F323" s="47" t="s">
        <v>274</v>
      </c>
      <c r="G323" t="s">
        <v>387</v>
      </c>
      <c r="H323" s="1">
        <v>10390201</v>
      </c>
      <c r="I323" t="s">
        <v>378</v>
      </c>
      <c r="J323" s="11" t="s">
        <v>225</v>
      </c>
    </row>
    <row r="324" spans="1:10" x14ac:dyDescent="0.25">
      <c r="A324">
        <v>10390202</v>
      </c>
      <c r="B324">
        <v>103902</v>
      </c>
      <c r="C324">
        <v>2</v>
      </c>
      <c r="D324" t="s">
        <v>277</v>
      </c>
      <c r="E324">
        <v>20</v>
      </c>
      <c r="F324" s="47" t="s">
        <v>278</v>
      </c>
      <c r="G324" t="s">
        <v>388</v>
      </c>
      <c r="H324" s="37">
        <v>0</v>
      </c>
      <c r="I324" t="s">
        <v>378</v>
      </c>
      <c r="J324" s="11" t="s">
        <v>225</v>
      </c>
    </row>
    <row r="325" spans="1:10" x14ac:dyDescent="0.25">
      <c r="A325">
        <v>10390203</v>
      </c>
      <c r="B325">
        <v>103902</v>
      </c>
      <c r="C325">
        <v>3</v>
      </c>
      <c r="D325" t="s">
        <v>280</v>
      </c>
      <c r="E325">
        <v>30</v>
      </c>
      <c r="F325" s="47" t="s">
        <v>281</v>
      </c>
      <c r="G325" t="s">
        <v>376</v>
      </c>
      <c r="H325" s="37">
        <v>0</v>
      </c>
      <c r="I325" t="s">
        <v>378</v>
      </c>
      <c r="J325" s="11" t="s">
        <v>225</v>
      </c>
    </row>
    <row r="326" spans="1:10" x14ac:dyDescent="0.25">
      <c r="A326">
        <v>10390204</v>
      </c>
      <c r="B326">
        <v>103902</v>
      </c>
      <c r="C326">
        <v>4</v>
      </c>
      <c r="D326" t="s">
        <v>283</v>
      </c>
      <c r="E326">
        <v>50</v>
      </c>
      <c r="F326" s="47" t="s">
        <v>284</v>
      </c>
      <c r="G326" t="s">
        <v>377</v>
      </c>
      <c r="H326" s="37">
        <v>0</v>
      </c>
      <c r="I326" t="s">
        <v>378</v>
      </c>
      <c r="J326" s="11" t="s">
        <v>225</v>
      </c>
    </row>
    <row r="327" spans="1:10" x14ac:dyDescent="0.25">
      <c r="A327">
        <v>10390205</v>
      </c>
      <c r="B327">
        <v>103902</v>
      </c>
      <c r="C327">
        <v>5</v>
      </c>
      <c r="D327" t="s">
        <v>287</v>
      </c>
      <c r="E327">
        <v>80</v>
      </c>
      <c r="F327" s="47" t="s">
        <v>288</v>
      </c>
      <c r="G327" t="s">
        <v>379</v>
      </c>
      <c r="H327" s="37">
        <v>0</v>
      </c>
      <c r="I327" t="s">
        <v>382</v>
      </c>
      <c r="J327" s="11" t="s">
        <v>225</v>
      </c>
    </row>
    <row r="328" spans="1:10" x14ac:dyDescent="0.25">
      <c r="A328">
        <v>10390206</v>
      </c>
      <c r="B328">
        <v>103902</v>
      </c>
      <c r="C328">
        <v>6</v>
      </c>
      <c r="D328" t="s">
        <v>290</v>
      </c>
      <c r="E328">
        <v>130</v>
      </c>
      <c r="F328" s="47" t="s">
        <v>291</v>
      </c>
      <c r="G328" t="s">
        <v>380</v>
      </c>
      <c r="H328" s="37">
        <v>0</v>
      </c>
      <c r="I328" t="s">
        <v>382</v>
      </c>
      <c r="J328" s="11" t="s">
        <v>225</v>
      </c>
    </row>
    <row r="329" spans="1:10" x14ac:dyDescent="0.25">
      <c r="A329">
        <v>10390207</v>
      </c>
      <c r="B329">
        <v>103902</v>
      </c>
      <c r="C329">
        <v>7</v>
      </c>
      <c r="D329" t="s">
        <v>293</v>
      </c>
      <c r="E329">
        <v>210</v>
      </c>
      <c r="F329" s="47" t="s">
        <v>294</v>
      </c>
      <c r="G329" t="s">
        <v>381</v>
      </c>
      <c r="H329" s="1">
        <v>10390202</v>
      </c>
      <c r="I329" t="s">
        <v>382</v>
      </c>
      <c r="J329" s="11" t="s">
        <v>225</v>
      </c>
    </row>
    <row r="330" spans="1:10" x14ac:dyDescent="0.25">
      <c r="A330">
        <v>10390208</v>
      </c>
      <c r="B330">
        <v>103902</v>
      </c>
      <c r="C330">
        <v>8</v>
      </c>
      <c r="D330" t="s">
        <v>297</v>
      </c>
      <c r="E330">
        <v>340</v>
      </c>
      <c r="F330" s="47" t="s">
        <v>298</v>
      </c>
      <c r="G330" t="s">
        <v>383</v>
      </c>
      <c r="H330" s="37">
        <v>0</v>
      </c>
      <c r="I330" t="s">
        <v>385</v>
      </c>
      <c r="J330" s="11" t="s">
        <v>225</v>
      </c>
    </row>
    <row r="331" spans="1:10" x14ac:dyDescent="0.25">
      <c r="A331">
        <v>10390209</v>
      </c>
      <c r="B331">
        <v>103902</v>
      </c>
      <c r="C331">
        <v>9</v>
      </c>
      <c r="D331" t="s">
        <v>300</v>
      </c>
      <c r="E331">
        <v>550</v>
      </c>
      <c r="F331" s="47" t="s">
        <v>301</v>
      </c>
      <c r="G331" t="s">
        <v>384</v>
      </c>
      <c r="H331" s="37">
        <v>0</v>
      </c>
      <c r="I331" t="s">
        <v>385</v>
      </c>
      <c r="J331" s="11" t="s">
        <v>225</v>
      </c>
    </row>
    <row r="332" spans="1:10" x14ac:dyDescent="0.25">
      <c r="A332">
        <v>10390210</v>
      </c>
      <c r="B332">
        <v>103902</v>
      </c>
      <c r="C332">
        <v>10</v>
      </c>
      <c r="D332" t="s">
        <v>304</v>
      </c>
      <c r="E332">
        <v>890</v>
      </c>
      <c r="F332" s="47" t="s">
        <v>305</v>
      </c>
      <c r="G332" t="s">
        <v>386</v>
      </c>
      <c r="H332" s="37">
        <v>0</v>
      </c>
      <c r="I332" t="s">
        <v>72</v>
      </c>
      <c r="J332" s="11" t="s">
        <v>225</v>
      </c>
    </row>
    <row r="333" spans="1:10" x14ac:dyDescent="0.25">
      <c r="A333">
        <v>10790101</v>
      </c>
      <c r="B333">
        <v>107901</v>
      </c>
      <c r="C333">
        <v>1</v>
      </c>
      <c r="D333" t="s">
        <v>273</v>
      </c>
      <c r="E333">
        <v>0</v>
      </c>
      <c r="F333" s="47" t="s">
        <v>274</v>
      </c>
      <c r="G333" t="s">
        <v>404</v>
      </c>
      <c r="H333" s="1">
        <v>10790101</v>
      </c>
      <c r="I333" t="s">
        <v>405</v>
      </c>
      <c r="J333" t="s">
        <v>227</v>
      </c>
    </row>
    <row r="334" spans="1:10" x14ac:dyDescent="0.25">
      <c r="A334">
        <v>10790102</v>
      </c>
      <c r="B334">
        <v>107901</v>
      </c>
      <c r="C334">
        <v>2</v>
      </c>
      <c r="D334" t="s">
        <v>277</v>
      </c>
      <c r="E334">
        <v>20</v>
      </c>
      <c r="F334" s="47" t="s">
        <v>278</v>
      </c>
      <c r="G334" t="s">
        <v>406</v>
      </c>
      <c r="H334" s="37">
        <v>0</v>
      </c>
      <c r="I334" t="s">
        <v>405</v>
      </c>
      <c r="J334" t="s">
        <v>227</v>
      </c>
    </row>
    <row r="335" spans="1:10" x14ac:dyDescent="0.25">
      <c r="A335">
        <v>10790103</v>
      </c>
      <c r="B335">
        <v>107901</v>
      </c>
      <c r="C335">
        <v>3</v>
      </c>
      <c r="D335" t="s">
        <v>280</v>
      </c>
      <c r="E335">
        <v>30</v>
      </c>
      <c r="F335" s="47" t="s">
        <v>281</v>
      </c>
      <c r="G335" t="s">
        <v>407</v>
      </c>
      <c r="H335" s="37">
        <v>0</v>
      </c>
      <c r="I335" t="s">
        <v>405</v>
      </c>
      <c r="J335" t="s">
        <v>227</v>
      </c>
    </row>
    <row r="336" spans="1:10" x14ac:dyDescent="0.25">
      <c r="A336">
        <v>10790104</v>
      </c>
      <c r="B336">
        <v>107901</v>
      </c>
      <c r="C336">
        <v>4</v>
      </c>
      <c r="D336" t="s">
        <v>283</v>
      </c>
      <c r="E336">
        <v>50</v>
      </c>
      <c r="F336" s="47" t="s">
        <v>284</v>
      </c>
      <c r="G336" t="s">
        <v>408</v>
      </c>
      <c r="H336" s="37">
        <v>0</v>
      </c>
      <c r="I336" t="s">
        <v>405</v>
      </c>
      <c r="J336" t="s">
        <v>227</v>
      </c>
    </row>
    <row r="337" spans="1:10" x14ac:dyDescent="0.25">
      <c r="A337">
        <v>10790105</v>
      </c>
      <c r="B337">
        <v>107901</v>
      </c>
      <c r="C337">
        <v>5</v>
      </c>
      <c r="D337" t="s">
        <v>287</v>
      </c>
      <c r="E337">
        <v>80</v>
      </c>
      <c r="F337" s="47" t="s">
        <v>288</v>
      </c>
      <c r="G337" t="s">
        <v>409</v>
      </c>
      <c r="H337" s="1">
        <v>10790102</v>
      </c>
      <c r="I337" t="s">
        <v>410</v>
      </c>
      <c r="J337" t="s">
        <v>227</v>
      </c>
    </row>
    <row r="338" spans="1:10" x14ac:dyDescent="0.25">
      <c r="A338">
        <v>10790106</v>
      </c>
      <c r="B338">
        <v>107901</v>
      </c>
      <c r="C338">
        <v>6</v>
      </c>
      <c r="D338" t="s">
        <v>290</v>
      </c>
      <c r="E338">
        <v>130</v>
      </c>
      <c r="F338" s="47" t="s">
        <v>291</v>
      </c>
      <c r="G338" t="s">
        <v>411</v>
      </c>
      <c r="H338" s="37">
        <v>0</v>
      </c>
      <c r="I338" t="s">
        <v>410</v>
      </c>
      <c r="J338" t="s">
        <v>227</v>
      </c>
    </row>
    <row r="339" spans="1:10" x14ac:dyDescent="0.25">
      <c r="A339">
        <v>10790107</v>
      </c>
      <c r="B339">
        <v>107901</v>
      </c>
      <c r="C339">
        <v>7</v>
      </c>
      <c r="D339" t="s">
        <v>293</v>
      </c>
      <c r="E339">
        <v>210</v>
      </c>
      <c r="F339" s="47" t="s">
        <v>294</v>
      </c>
      <c r="G339" t="s">
        <v>412</v>
      </c>
      <c r="H339" s="37">
        <v>0</v>
      </c>
      <c r="I339" t="s">
        <v>410</v>
      </c>
      <c r="J339" t="s">
        <v>227</v>
      </c>
    </row>
    <row r="340" spans="1:10" x14ac:dyDescent="0.25">
      <c r="A340">
        <v>10790108</v>
      </c>
      <c r="B340">
        <v>107901</v>
      </c>
      <c r="C340">
        <v>8</v>
      </c>
      <c r="D340" t="s">
        <v>297</v>
      </c>
      <c r="E340">
        <v>340</v>
      </c>
      <c r="F340" s="47" t="s">
        <v>298</v>
      </c>
      <c r="G340" t="s">
        <v>413</v>
      </c>
      <c r="H340" s="37">
        <v>0</v>
      </c>
      <c r="I340" t="s">
        <v>414</v>
      </c>
      <c r="J340" t="s">
        <v>227</v>
      </c>
    </row>
    <row r="341" spans="1:10" x14ac:dyDescent="0.25">
      <c r="A341">
        <v>10790109</v>
      </c>
      <c r="B341">
        <v>107901</v>
      </c>
      <c r="C341">
        <v>9</v>
      </c>
      <c r="D341" t="s">
        <v>300</v>
      </c>
      <c r="E341">
        <v>550</v>
      </c>
      <c r="F341" s="47" t="s">
        <v>301</v>
      </c>
      <c r="G341" t="s">
        <v>415</v>
      </c>
      <c r="H341" s="37">
        <v>0</v>
      </c>
      <c r="I341" t="s">
        <v>414</v>
      </c>
      <c r="J341" t="s">
        <v>227</v>
      </c>
    </row>
    <row r="342" spans="1:10" x14ac:dyDescent="0.25">
      <c r="A342">
        <v>10790110</v>
      </c>
      <c r="B342">
        <v>107901</v>
      </c>
      <c r="C342">
        <v>10</v>
      </c>
      <c r="D342" t="s">
        <v>304</v>
      </c>
      <c r="E342">
        <v>890</v>
      </c>
      <c r="F342" s="47" t="s">
        <v>305</v>
      </c>
      <c r="G342" t="s">
        <v>416</v>
      </c>
      <c r="H342" s="37">
        <v>0</v>
      </c>
      <c r="I342" t="s">
        <v>417</v>
      </c>
      <c r="J342" t="s">
        <v>227</v>
      </c>
    </row>
    <row r="343" spans="1:10" x14ac:dyDescent="0.25">
      <c r="A343">
        <v>10990101</v>
      </c>
      <c r="B343">
        <v>109901</v>
      </c>
      <c r="C343">
        <v>1</v>
      </c>
      <c r="D343" t="s">
        <v>273</v>
      </c>
      <c r="E343">
        <v>0</v>
      </c>
      <c r="F343" s="47" t="s">
        <v>274</v>
      </c>
      <c r="G343" t="s">
        <v>418</v>
      </c>
      <c r="H343" s="1">
        <v>10900101</v>
      </c>
      <c r="I343" t="s">
        <v>405</v>
      </c>
      <c r="J343" t="s">
        <v>230</v>
      </c>
    </row>
    <row r="344" spans="1:10" x14ac:dyDescent="0.25">
      <c r="A344">
        <v>10990102</v>
      </c>
      <c r="B344">
        <v>109901</v>
      </c>
      <c r="C344">
        <v>2</v>
      </c>
      <c r="D344" t="s">
        <v>277</v>
      </c>
      <c r="E344">
        <v>20</v>
      </c>
      <c r="F344" s="47" t="s">
        <v>278</v>
      </c>
      <c r="G344" t="s">
        <v>419</v>
      </c>
      <c r="H344" s="37">
        <v>0</v>
      </c>
      <c r="I344" t="s">
        <v>405</v>
      </c>
      <c r="J344" t="s">
        <v>230</v>
      </c>
    </row>
    <row r="345" spans="1:10" x14ac:dyDescent="0.25">
      <c r="A345">
        <v>10990103</v>
      </c>
      <c r="B345">
        <v>109901</v>
      </c>
      <c r="C345">
        <v>3</v>
      </c>
      <c r="D345" t="s">
        <v>280</v>
      </c>
      <c r="E345">
        <v>30</v>
      </c>
      <c r="F345" s="47" t="s">
        <v>281</v>
      </c>
      <c r="G345" t="s">
        <v>420</v>
      </c>
      <c r="H345" s="37">
        <v>0</v>
      </c>
      <c r="I345" t="s">
        <v>405</v>
      </c>
      <c r="J345" t="s">
        <v>230</v>
      </c>
    </row>
    <row r="346" spans="1:10" x14ac:dyDescent="0.25">
      <c r="A346">
        <v>10990104</v>
      </c>
      <c r="B346">
        <v>109901</v>
      </c>
      <c r="C346">
        <v>4</v>
      </c>
      <c r="D346" t="s">
        <v>283</v>
      </c>
      <c r="E346">
        <v>50</v>
      </c>
      <c r="F346" s="47" t="s">
        <v>284</v>
      </c>
      <c r="G346" t="s">
        <v>421</v>
      </c>
      <c r="H346" s="37">
        <v>0</v>
      </c>
      <c r="I346" t="s">
        <v>405</v>
      </c>
      <c r="J346" t="s">
        <v>230</v>
      </c>
    </row>
    <row r="347" spans="1:10" x14ac:dyDescent="0.25">
      <c r="A347">
        <v>10990105</v>
      </c>
      <c r="B347">
        <v>109901</v>
      </c>
      <c r="C347">
        <v>5</v>
      </c>
      <c r="D347" t="s">
        <v>287</v>
      </c>
      <c r="E347">
        <v>80</v>
      </c>
      <c r="F347" s="47" t="s">
        <v>288</v>
      </c>
      <c r="G347" t="s">
        <v>422</v>
      </c>
      <c r="H347" s="1">
        <v>10900102</v>
      </c>
      <c r="I347" t="s">
        <v>410</v>
      </c>
      <c r="J347" t="s">
        <v>230</v>
      </c>
    </row>
    <row r="348" spans="1:10" x14ac:dyDescent="0.25">
      <c r="A348">
        <v>10990106</v>
      </c>
      <c r="B348">
        <v>109901</v>
      </c>
      <c r="C348">
        <v>6</v>
      </c>
      <c r="D348" t="s">
        <v>290</v>
      </c>
      <c r="E348">
        <v>130</v>
      </c>
      <c r="F348" s="47" t="s">
        <v>291</v>
      </c>
      <c r="G348" t="s">
        <v>423</v>
      </c>
      <c r="H348" s="37">
        <v>0</v>
      </c>
      <c r="I348" t="s">
        <v>410</v>
      </c>
      <c r="J348" t="s">
        <v>230</v>
      </c>
    </row>
    <row r="349" spans="1:10" x14ac:dyDescent="0.25">
      <c r="A349">
        <v>10990107</v>
      </c>
      <c r="B349">
        <v>109901</v>
      </c>
      <c r="C349">
        <v>7</v>
      </c>
      <c r="D349" t="s">
        <v>293</v>
      </c>
      <c r="E349">
        <v>210</v>
      </c>
      <c r="F349" s="47" t="s">
        <v>294</v>
      </c>
      <c r="G349" t="s">
        <v>424</v>
      </c>
      <c r="H349" s="37">
        <v>0</v>
      </c>
      <c r="I349" t="s">
        <v>410</v>
      </c>
      <c r="J349" t="s">
        <v>230</v>
      </c>
    </row>
    <row r="350" spans="1:10" x14ac:dyDescent="0.25">
      <c r="A350">
        <v>10990108</v>
      </c>
      <c r="B350">
        <v>109901</v>
      </c>
      <c r="C350">
        <v>8</v>
      </c>
      <c r="D350" t="s">
        <v>297</v>
      </c>
      <c r="E350">
        <v>340</v>
      </c>
      <c r="F350" s="47" t="s">
        <v>298</v>
      </c>
      <c r="G350" t="s">
        <v>425</v>
      </c>
      <c r="H350" s="37">
        <v>0</v>
      </c>
      <c r="I350" t="s">
        <v>414</v>
      </c>
      <c r="J350" t="s">
        <v>230</v>
      </c>
    </row>
    <row r="351" spans="1:10" x14ac:dyDescent="0.25">
      <c r="A351">
        <v>10990109</v>
      </c>
      <c r="B351">
        <v>109901</v>
      </c>
      <c r="C351">
        <v>9</v>
      </c>
      <c r="D351" t="s">
        <v>300</v>
      </c>
      <c r="E351">
        <v>550</v>
      </c>
      <c r="F351" s="47" t="s">
        <v>301</v>
      </c>
      <c r="G351" t="s">
        <v>426</v>
      </c>
      <c r="H351" s="37">
        <v>0</v>
      </c>
      <c r="I351" t="s">
        <v>414</v>
      </c>
      <c r="J351" t="s">
        <v>230</v>
      </c>
    </row>
    <row r="352" spans="1:10" x14ac:dyDescent="0.25">
      <c r="A352">
        <v>10990110</v>
      </c>
      <c r="B352">
        <v>109901</v>
      </c>
      <c r="C352">
        <v>10</v>
      </c>
      <c r="D352" t="s">
        <v>304</v>
      </c>
      <c r="E352">
        <v>890</v>
      </c>
      <c r="F352" s="47" t="s">
        <v>305</v>
      </c>
      <c r="G352" t="s">
        <v>427</v>
      </c>
      <c r="H352" s="37">
        <v>0</v>
      </c>
      <c r="I352" t="s">
        <v>417</v>
      </c>
      <c r="J352" t="s">
        <v>230</v>
      </c>
    </row>
    <row r="353" spans="1:10" x14ac:dyDescent="0.25">
      <c r="A353" s="50">
        <v>10190301</v>
      </c>
      <c r="B353" s="50">
        <v>101903</v>
      </c>
      <c r="C353">
        <v>1</v>
      </c>
      <c r="D353" t="s">
        <v>273</v>
      </c>
      <c r="E353">
        <v>0</v>
      </c>
      <c r="F353" s="47" t="s">
        <v>274</v>
      </c>
      <c r="G353" t="s">
        <v>492</v>
      </c>
      <c r="H353" s="50">
        <v>10190301</v>
      </c>
      <c r="I353" t="s">
        <v>303</v>
      </c>
      <c r="J353" t="s">
        <v>232</v>
      </c>
    </row>
    <row r="354" spans="1:10" x14ac:dyDescent="0.25">
      <c r="A354" s="50">
        <v>10190302</v>
      </c>
      <c r="B354" s="50">
        <v>101903</v>
      </c>
      <c r="C354">
        <v>2</v>
      </c>
      <c r="D354" t="s">
        <v>277</v>
      </c>
      <c r="E354">
        <v>50</v>
      </c>
      <c r="F354" s="47" t="s">
        <v>333</v>
      </c>
      <c r="G354" t="s">
        <v>493</v>
      </c>
      <c r="H354" s="37">
        <v>0</v>
      </c>
      <c r="I354" t="s">
        <v>303</v>
      </c>
      <c r="J354" t="s">
        <v>232</v>
      </c>
    </row>
    <row r="355" spans="1:10" x14ac:dyDescent="0.25">
      <c r="A355" s="50">
        <v>10190303</v>
      </c>
      <c r="B355" s="50">
        <v>101903</v>
      </c>
      <c r="C355">
        <v>3</v>
      </c>
      <c r="D355" t="s">
        <v>280</v>
      </c>
      <c r="E355">
        <v>100</v>
      </c>
      <c r="F355" s="47" t="s">
        <v>335</v>
      </c>
      <c r="G355" t="s">
        <v>494</v>
      </c>
      <c r="H355" s="37">
        <v>0</v>
      </c>
      <c r="I355" t="s">
        <v>38</v>
      </c>
      <c r="J355" t="s">
        <v>232</v>
      </c>
    </row>
    <row r="356" spans="1:10" x14ac:dyDescent="0.25">
      <c r="A356" s="50">
        <v>10190304</v>
      </c>
      <c r="B356" s="50">
        <v>101903</v>
      </c>
      <c r="C356">
        <v>4</v>
      </c>
      <c r="D356" t="s">
        <v>283</v>
      </c>
      <c r="E356">
        <v>150</v>
      </c>
      <c r="F356" s="47" t="s">
        <v>337</v>
      </c>
      <c r="G356" t="s">
        <v>495</v>
      </c>
      <c r="H356" s="50">
        <v>10190302</v>
      </c>
      <c r="I356" t="s">
        <v>38</v>
      </c>
      <c r="J356" t="s">
        <v>232</v>
      </c>
    </row>
    <row r="357" spans="1:10" x14ac:dyDescent="0.25">
      <c r="A357" s="50">
        <v>10190305</v>
      </c>
      <c r="B357" s="50">
        <v>101903</v>
      </c>
      <c r="C357">
        <v>5</v>
      </c>
      <c r="D357" t="s">
        <v>287</v>
      </c>
      <c r="E357">
        <v>250</v>
      </c>
      <c r="F357" s="47" t="s">
        <v>339</v>
      </c>
      <c r="G357" t="s">
        <v>496</v>
      </c>
      <c r="H357" s="37">
        <v>0</v>
      </c>
      <c r="I357" t="s">
        <v>38</v>
      </c>
      <c r="J357" t="s">
        <v>232</v>
      </c>
    </row>
    <row r="358" spans="1:10" x14ac:dyDescent="0.25">
      <c r="A358" s="50">
        <v>10190306</v>
      </c>
      <c r="B358" s="50">
        <v>101903</v>
      </c>
      <c r="C358">
        <v>6</v>
      </c>
      <c r="D358" t="s">
        <v>290</v>
      </c>
      <c r="E358">
        <v>400</v>
      </c>
      <c r="F358" s="47" t="s">
        <v>341</v>
      </c>
      <c r="G358" t="s">
        <v>497</v>
      </c>
      <c r="H358" s="37">
        <v>0</v>
      </c>
      <c r="I358" t="s">
        <v>38</v>
      </c>
      <c r="J358" t="s">
        <v>232</v>
      </c>
    </row>
    <row r="359" spans="1:10" x14ac:dyDescent="0.25">
      <c r="A359" s="50">
        <v>10190307</v>
      </c>
      <c r="B359" s="50">
        <v>101903</v>
      </c>
      <c r="C359">
        <v>7</v>
      </c>
      <c r="D359" t="s">
        <v>293</v>
      </c>
      <c r="E359">
        <v>650</v>
      </c>
      <c r="F359" s="47" t="s">
        <v>343</v>
      </c>
      <c r="G359" t="s">
        <v>498</v>
      </c>
      <c r="H359" s="37">
        <v>0</v>
      </c>
      <c r="I359" t="s">
        <v>499</v>
      </c>
      <c r="J359" t="s">
        <v>232</v>
      </c>
    </row>
    <row r="360" spans="1:10" x14ac:dyDescent="0.25">
      <c r="A360" s="50">
        <v>10190308</v>
      </c>
      <c r="B360" s="50">
        <v>101903</v>
      </c>
      <c r="C360">
        <v>8</v>
      </c>
      <c r="D360" t="s">
        <v>297</v>
      </c>
      <c r="E360">
        <v>900</v>
      </c>
      <c r="F360" s="47" t="s">
        <v>346</v>
      </c>
      <c r="G360" t="s">
        <v>347</v>
      </c>
      <c r="H360" s="50">
        <v>10190303</v>
      </c>
      <c r="I360" t="s">
        <v>499</v>
      </c>
      <c r="J360" t="s">
        <v>232</v>
      </c>
    </row>
    <row r="361" spans="1:10" x14ac:dyDescent="0.25">
      <c r="A361" s="50">
        <v>10190309</v>
      </c>
      <c r="B361" s="50">
        <v>101903</v>
      </c>
      <c r="C361">
        <v>9</v>
      </c>
      <c r="D361" t="s">
        <v>300</v>
      </c>
      <c r="E361">
        <v>1200</v>
      </c>
      <c r="F361" s="47" t="s">
        <v>348</v>
      </c>
      <c r="G361" t="s">
        <v>500</v>
      </c>
      <c r="H361" s="37">
        <v>0</v>
      </c>
      <c r="I361" t="s">
        <v>501</v>
      </c>
      <c r="J361" t="s">
        <v>232</v>
      </c>
    </row>
    <row r="362" spans="1:10" x14ac:dyDescent="0.25">
      <c r="A362" s="50">
        <v>10190310</v>
      </c>
      <c r="B362" s="50">
        <v>101903</v>
      </c>
      <c r="C362">
        <v>10</v>
      </c>
      <c r="D362" t="s">
        <v>304</v>
      </c>
      <c r="E362">
        <v>1500</v>
      </c>
      <c r="F362" s="47" t="s">
        <v>351</v>
      </c>
      <c r="G362" t="s">
        <v>502</v>
      </c>
      <c r="H362" s="37">
        <v>0</v>
      </c>
      <c r="I362" t="s">
        <v>503</v>
      </c>
      <c r="J362" t="s">
        <v>232</v>
      </c>
    </row>
    <row r="363" spans="1:10" x14ac:dyDescent="0.25">
      <c r="A363">
        <v>10590101</v>
      </c>
      <c r="B363" s="50">
        <v>105901</v>
      </c>
      <c r="C363">
        <v>1</v>
      </c>
      <c r="D363" t="s">
        <v>273</v>
      </c>
      <c r="E363">
        <v>0</v>
      </c>
      <c r="F363" s="47" t="s">
        <v>274</v>
      </c>
      <c r="G363" t="s">
        <v>504</v>
      </c>
      <c r="H363">
        <v>10590101</v>
      </c>
      <c r="I363" t="s">
        <v>401</v>
      </c>
      <c r="J363" t="s">
        <v>234</v>
      </c>
    </row>
    <row r="364" spans="1:10" x14ac:dyDescent="0.25">
      <c r="A364">
        <v>10590102</v>
      </c>
      <c r="B364" s="50">
        <v>105901</v>
      </c>
      <c r="C364">
        <v>2</v>
      </c>
      <c r="D364" t="s">
        <v>277</v>
      </c>
      <c r="E364">
        <v>50</v>
      </c>
      <c r="F364" s="47" t="s">
        <v>333</v>
      </c>
      <c r="G364" t="s">
        <v>494</v>
      </c>
      <c r="H364" s="37">
        <v>0</v>
      </c>
      <c r="I364" t="s">
        <v>401</v>
      </c>
      <c r="J364" t="s">
        <v>234</v>
      </c>
    </row>
    <row r="365" spans="1:10" x14ac:dyDescent="0.25">
      <c r="A365">
        <v>10590103</v>
      </c>
      <c r="B365" s="50">
        <v>105901</v>
      </c>
      <c r="C365">
        <v>3</v>
      </c>
      <c r="D365" t="s">
        <v>280</v>
      </c>
      <c r="E365">
        <v>100</v>
      </c>
      <c r="F365" s="47" t="s">
        <v>335</v>
      </c>
      <c r="G365" t="s">
        <v>505</v>
      </c>
      <c r="H365" s="37">
        <v>0</v>
      </c>
      <c r="I365" t="s">
        <v>403</v>
      </c>
      <c r="J365" t="s">
        <v>234</v>
      </c>
    </row>
    <row r="366" spans="1:10" x14ac:dyDescent="0.25">
      <c r="A366">
        <v>10590104</v>
      </c>
      <c r="B366" s="50">
        <v>105901</v>
      </c>
      <c r="C366">
        <v>4</v>
      </c>
      <c r="D366" t="s">
        <v>283</v>
      </c>
      <c r="E366">
        <v>150</v>
      </c>
      <c r="F366" s="47" t="s">
        <v>337</v>
      </c>
      <c r="G366" t="s">
        <v>506</v>
      </c>
      <c r="H366">
        <v>10590102</v>
      </c>
      <c r="I366" t="s">
        <v>403</v>
      </c>
      <c r="J366" t="s">
        <v>234</v>
      </c>
    </row>
    <row r="367" spans="1:10" x14ac:dyDescent="0.25">
      <c r="A367">
        <v>10590105</v>
      </c>
      <c r="B367" s="50">
        <v>105901</v>
      </c>
      <c r="C367">
        <v>5</v>
      </c>
      <c r="D367" t="s">
        <v>287</v>
      </c>
      <c r="E367">
        <v>250</v>
      </c>
      <c r="F367" s="47" t="s">
        <v>339</v>
      </c>
      <c r="G367" t="s">
        <v>507</v>
      </c>
      <c r="H367" s="37">
        <v>0</v>
      </c>
      <c r="I367" t="s">
        <v>403</v>
      </c>
      <c r="J367" t="s">
        <v>234</v>
      </c>
    </row>
    <row r="368" spans="1:10" x14ac:dyDescent="0.25">
      <c r="A368">
        <v>10590106</v>
      </c>
      <c r="B368" s="50">
        <v>105901</v>
      </c>
      <c r="C368">
        <v>6</v>
      </c>
      <c r="D368" t="s">
        <v>290</v>
      </c>
      <c r="E368">
        <v>400</v>
      </c>
      <c r="F368" s="47" t="s">
        <v>341</v>
      </c>
      <c r="G368" t="s">
        <v>508</v>
      </c>
      <c r="H368" s="37">
        <v>0</v>
      </c>
      <c r="I368" t="s">
        <v>403</v>
      </c>
      <c r="J368" t="s">
        <v>234</v>
      </c>
    </row>
    <row r="369" spans="1:10" x14ac:dyDescent="0.25">
      <c r="A369">
        <v>10590107</v>
      </c>
      <c r="B369" s="50">
        <v>105901</v>
      </c>
      <c r="C369">
        <v>7</v>
      </c>
      <c r="D369" t="s">
        <v>293</v>
      </c>
      <c r="E369">
        <v>650</v>
      </c>
      <c r="F369" s="47" t="s">
        <v>343</v>
      </c>
      <c r="G369" t="s">
        <v>509</v>
      </c>
      <c r="H369" s="37">
        <v>0</v>
      </c>
      <c r="I369" t="s">
        <v>510</v>
      </c>
      <c r="J369" t="s">
        <v>234</v>
      </c>
    </row>
    <row r="370" spans="1:10" x14ac:dyDescent="0.25">
      <c r="A370">
        <v>10590108</v>
      </c>
      <c r="B370" s="50">
        <v>105901</v>
      </c>
      <c r="C370">
        <v>8</v>
      </c>
      <c r="D370" t="s">
        <v>297</v>
      </c>
      <c r="E370">
        <v>900</v>
      </c>
      <c r="F370" s="47" t="s">
        <v>346</v>
      </c>
      <c r="G370" t="s">
        <v>511</v>
      </c>
      <c r="H370">
        <v>10590103</v>
      </c>
      <c r="I370" t="s">
        <v>510</v>
      </c>
      <c r="J370" t="s">
        <v>234</v>
      </c>
    </row>
    <row r="371" spans="1:10" x14ac:dyDescent="0.25">
      <c r="A371">
        <v>10590109</v>
      </c>
      <c r="B371" s="50">
        <v>105901</v>
      </c>
      <c r="C371">
        <v>9</v>
      </c>
      <c r="D371" t="s">
        <v>300</v>
      </c>
      <c r="E371">
        <v>1200</v>
      </c>
      <c r="F371" s="47" t="s">
        <v>348</v>
      </c>
      <c r="G371" t="s">
        <v>512</v>
      </c>
      <c r="H371" s="37">
        <v>0</v>
      </c>
      <c r="I371" t="s">
        <v>513</v>
      </c>
      <c r="J371" t="s">
        <v>234</v>
      </c>
    </row>
    <row r="372" spans="1:10" x14ac:dyDescent="0.25">
      <c r="A372">
        <v>10590110</v>
      </c>
      <c r="B372" s="50">
        <v>105901</v>
      </c>
      <c r="C372">
        <v>10</v>
      </c>
      <c r="D372" t="s">
        <v>304</v>
      </c>
      <c r="E372">
        <v>1500</v>
      </c>
      <c r="F372" s="47" t="s">
        <v>351</v>
      </c>
      <c r="G372" t="s">
        <v>514</v>
      </c>
      <c r="H372" s="37">
        <v>0</v>
      </c>
      <c r="I372" t="s">
        <v>515</v>
      </c>
      <c r="J372" t="s">
        <v>234</v>
      </c>
    </row>
    <row r="373" spans="1:10" s="37" customFormat="1" x14ac:dyDescent="0.25">
      <c r="A373" s="50">
        <v>10190401</v>
      </c>
      <c r="B373" s="50">
        <v>101904</v>
      </c>
      <c r="C373" s="23">
        <v>1</v>
      </c>
      <c r="D373" s="23" t="s">
        <v>273</v>
      </c>
      <c r="E373" s="23">
        <v>0</v>
      </c>
      <c r="F373" s="52" t="s">
        <v>274</v>
      </c>
      <c r="G373" s="23" t="s">
        <v>516</v>
      </c>
      <c r="H373" s="1">
        <v>10190401</v>
      </c>
      <c r="I373" s="37" t="s">
        <v>303</v>
      </c>
      <c r="J373" s="37" t="s">
        <v>236</v>
      </c>
    </row>
    <row r="374" spans="1:10" s="37" customFormat="1" x14ac:dyDescent="0.25">
      <c r="A374" s="50">
        <v>10190402</v>
      </c>
      <c r="B374" s="50">
        <v>101904</v>
      </c>
      <c r="C374" s="23">
        <v>2</v>
      </c>
      <c r="D374" s="23" t="s">
        <v>277</v>
      </c>
      <c r="E374" s="23">
        <v>50</v>
      </c>
      <c r="F374" s="52" t="s">
        <v>333</v>
      </c>
      <c r="G374" s="23" t="s">
        <v>517</v>
      </c>
      <c r="H374" s="37">
        <v>0</v>
      </c>
      <c r="I374" s="37" t="s">
        <v>303</v>
      </c>
      <c r="J374" s="37" t="s">
        <v>236</v>
      </c>
    </row>
    <row r="375" spans="1:10" s="37" customFormat="1" x14ac:dyDescent="0.25">
      <c r="A375" s="50">
        <v>10190403</v>
      </c>
      <c r="B375" s="50">
        <v>101904</v>
      </c>
      <c r="C375" s="23">
        <v>3</v>
      </c>
      <c r="D375" s="23" t="s">
        <v>280</v>
      </c>
      <c r="E375" s="23">
        <v>100</v>
      </c>
      <c r="F375" s="52" t="s">
        <v>335</v>
      </c>
      <c r="G375" s="23" t="s">
        <v>518</v>
      </c>
      <c r="H375" s="37">
        <v>0</v>
      </c>
      <c r="I375" s="37" t="s">
        <v>38</v>
      </c>
      <c r="J375" s="37" t="s">
        <v>236</v>
      </c>
    </row>
    <row r="376" spans="1:10" s="37" customFormat="1" x14ac:dyDescent="0.25">
      <c r="A376" s="50">
        <v>10190404</v>
      </c>
      <c r="B376" s="50">
        <v>101904</v>
      </c>
      <c r="C376" s="23">
        <v>4</v>
      </c>
      <c r="D376" s="23" t="s">
        <v>283</v>
      </c>
      <c r="E376" s="23">
        <v>150</v>
      </c>
      <c r="F376" s="52" t="s">
        <v>337</v>
      </c>
      <c r="G376" s="23" t="s">
        <v>519</v>
      </c>
      <c r="H376" s="1">
        <v>10190402</v>
      </c>
      <c r="I376" s="37" t="s">
        <v>38</v>
      </c>
      <c r="J376" s="37" t="s">
        <v>236</v>
      </c>
    </row>
    <row r="377" spans="1:10" s="37" customFormat="1" x14ac:dyDescent="0.25">
      <c r="A377" s="50">
        <v>10190405</v>
      </c>
      <c r="B377" s="50">
        <v>101904</v>
      </c>
      <c r="C377" s="23">
        <v>5</v>
      </c>
      <c r="D377" s="23" t="s">
        <v>287</v>
      </c>
      <c r="E377" s="23">
        <v>250</v>
      </c>
      <c r="F377" s="52" t="s">
        <v>339</v>
      </c>
      <c r="G377" s="23" t="s">
        <v>520</v>
      </c>
      <c r="H377" s="37">
        <v>0</v>
      </c>
      <c r="I377" s="37" t="s">
        <v>38</v>
      </c>
      <c r="J377" s="37" t="s">
        <v>236</v>
      </c>
    </row>
    <row r="378" spans="1:10" s="37" customFormat="1" x14ac:dyDescent="0.25">
      <c r="A378" s="50">
        <v>10190406</v>
      </c>
      <c r="B378" s="50">
        <v>101904</v>
      </c>
      <c r="C378" s="23">
        <v>6</v>
      </c>
      <c r="D378" s="23" t="s">
        <v>290</v>
      </c>
      <c r="E378" s="23">
        <v>400</v>
      </c>
      <c r="F378" s="52" t="s">
        <v>341</v>
      </c>
      <c r="G378" s="23" t="s">
        <v>521</v>
      </c>
      <c r="H378" s="37">
        <v>0</v>
      </c>
      <c r="I378" s="37" t="s">
        <v>38</v>
      </c>
      <c r="J378" s="37" t="s">
        <v>236</v>
      </c>
    </row>
    <row r="379" spans="1:10" s="37" customFormat="1" x14ac:dyDescent="0.25">
      <c r="A379" s="50">
        <v>10190407</v>
      </c>
      <c r="B379" s="50">
        <v>101904</v>
      </c>
      <c r="C379" s="23">
        <v>7</v>
      </c>
      <c r="D379" s="23" t="s">
        <v>293</v>
      </c>
      <c r="E379" s="23">
        <v>650</v>
      </c>
      <c r="F379" s="52" t="s">
        <v>343</v>
      </c>
      <c r="G379" s="23" t="s">
        <v>522</v>
      </c>
      <c r="H379" s="37">
        <v>0</v>
      </c>
      <c r="I379" s="37" t="s">
        <v>499</v>
      </c>
      <c r="J379" s="37" t="s">
        <v>236</v>
      </c>
    </row>
    <row r="380" spans="1:10" s="37" customFormat="1" x14ac:dyDescent="0.25">
      <c r="A380" s="50">
        <v>10190408</v>
      </c>
      <c r="B380" s="50">
        <v>101904</v>
      </c>
      <c r="C380" s="23">
        <v>8</v>
      </c>
      <c r="D380" s="23" t="s">
        <v>297</v>
      </c>
      <c r="E380" s="23">
        <v>900</v>
      </c>
      <c r="F380" s="52" t="s">
        <v>346</v>
      </c>
      <c r="G380" s="23" t="s">
        <v>523</v>
      </c>
      <c r="H380" s="1">
        <v>10190403</v>
      </c>
      <c r="I380" s="37" t="s">
        <v>499</v>
      </c>
      <c r="J380" s="37" t="s">
        <v>236</v>
      </c>
    </row>
    <row r="381" spans="1:10" s="37" customFormat="1" x14ac:dyDescent="0.25">
      <c r="A381" s="50">
        <v>10190409</v>
      </c>
      <c r="B381" s="50">
        <v>101904</v>
      </c>
      <c r="C381" s="23">
        <v>9</v>
      </c>
      <c r="D381" s="23" t="s">
        <v>300</v>
      </c>
      <c r="E381" s="23">
        <v>1200</v>
      </c>
      <c r="F381" s="52" t="s">
        <v>348</v>
      </c>
      <c r="G381" s="23" t="s">
        <v>524</v>
      </c>
      <c r="H381" s="37">
        <v>0</v>
      </c>
      <c r="I381" s="37" t="s">
        <v>501</v>
      </c>
      <c r="J381" s="37" t="s">
        <v>236</v>
      </c>
    </row>
    <row r="382" spans="1:10" s="37" customFormat="1" x14ac:dyDescent="0.25">
      <c r="A382" s="50">
        <v>10190410</v>
      </c>
      <c r="B382" s="50">
        <v>101904</v>
      </c>
      <c r="C382" s="23">
        <v>10</v>
      </c>
      <c r="D382" s="23" t="s">
        <v>304</v>
      </c>
      <c r="E382" s="23">
        <v>1500</v>
      </c>
      <c r="F382" s="52" t="s">
        <v>351</v>
      </c>
      <c r="G382" s="23" t="s">
        <v>525</v>
      </c>
      <c r="H382" s="37">
        <v>0</v>
      </c>
      <c r="I382" s="37" t="s">
        <v>503</v>
      </c>
      <c r="J382" s="37" t="s">
        <v>236</v>
      </c>
    </row>
    <row r="383" spans="1:10" x14ac:dyDescent="0.25">
      <c r="A383" s="15">
        <v>10490201</v>
      </c>
      <c r="B383" s="15">
        <v>104902</v>
      </c>
      <c r="C383">
        <v>1</v>
      </c>
      <c r="D383" t="s">
        <v>273</v>
      </c>
      <c r="E383">
        <v>0</v>
      </c>
      <c r="F383" s="47" t="s">
        <v>274</v>
      </c>
      <c r="G383" t="s">
        <v>555</v>
      </c>
      <c r="H383" s="11">
        <v>10490201</v>
      </c>
      <c r="I383" t="s">
        <v>401</v>
      </c>
      <c r="J383" t="s">
        <v>238</v>
      </c>
    </row>
    <row r="384" spans="1:10" x14ac:dyDescent="0.25">
      <c r="A384" s="15">
        <v>10490202</v>
      </c>
      <c r="B384" s="15">
        <v>104902</v>
      </c>
      <c r="C384">
        <v>2</v>
      </c>
      <c r="D384" t="s">
        <v>277</v>
      </c>
      <c r="E384">
        <v>50</v>
      </c>
      <c r="F384" s="47" t="s">
        <v>333</v>
      </c>
      <c r="G384" t="s">
        <v>556</v>
      </c>
      <c r="H384" s="37">
        <v>0</v>
      </c>
      <c r="I384" t="s">
        <v>401</v>
      </c>
      <c r="J384" t="s">
        <v>238</v>
      </c>
    </row>
    <row r="385" spans="1:10" x14ac:dyDescent="0.25">
      <c r="A385" s="15">
        <v>10490203</v>
      </c>
      <c r="B385" s="15">
        <v>104902</v>
      </c>
      <c r="C385">
        <v>3</v>
      </c>
      <c r="D385" t="s">
        <v>280</v>
      </c>
      <c r="E385">
        <v>100</v>
      </c>
      <c r="F385" s="47" t="s">
        <v>335</v>
      </c>
      <c r="G385" t="s">
        <v>557</v>
      </c>
      <c r="H385" s="37">
        <v>0</v>
      </c>
      <c r="I385" t="s">
        <v>403</v>
      </c>
      <c r="J385" t="s">
        <v>238</v>
      </c>
    </row>
    <row r="386" spans="1:10" x14ac:dyDescent="0.25">
      <c r="A386" s="15">
        <v>10490204</v>
      </c>
      <c r="B386" s="15">
        <v>104902</v>
      </c>
      <c r="C386">
        <v>4</v>
      </c>
      <c r="D386" t="s">
        <v>283</v>
      </c>
      <c r="E386">
        <v>150</v>
      </c>
      <c r="F386" s="47" t="s">
        <v>337</v>
      </c>
      <c r="G386" t="s">
        <v>558</v>
      </c>
      <c r="H386" s="11">
        <v>10490202</v>
      </c>
      <c r="I386" t="s">
        <v>403</v>
      </c>
      <c r="J386" t="s">
        <v>238</v>
      </c>
    </row>
    <row r="387" spans="1:10" x14ac:dyDescent="0.25">
      <c r="A387" s="15">
        <v>10490205</v>
      </c>
      <c r="B387" s="15">
        <v>104902</v>
      </c>
      <c r="C387">
        <v>5</v>
      </c>
      <c r="D387" t="s">
        <v>287</v>
      </c>
      <c r="E387">
        <v>250</v>
      </c>
      <c r="F387" s="47" t="s">
        <v>339</v>
      </c>
      <c r="G387" t="s">
        <v>559</v>
      </c>
      <c r="H387" s="37">
        <v>0</v>
      </c>
      <c r="I387" t="s">
        <v>403</v>
      </c>
      <c r="J387" t="s">
        <v>238</v>
      </c>
    </row>
    <row r="388" spans="1:10" x14ac:dyDescent="0.25">
      <c r="A388" s="15">
        <v>10490206</v>
      </c>
      <c r="B388" s="15">
        <v>104902</v>
      </c>
      <c r="C388">
        <v>6</v>
      </c>
      <c r="D388" t="s">
        <v>290</v>
      </c>
      <c r="E388">
        <v>400</v>
      </c>
      <c r="F388" s="47" t="s">
        <v>341</v>
      </c>
      <c r="G388" t="s">
        <v>560</v>
      </c>
      <c r="H388" s="37">
        <v>0</v>
      </c>
      <c r="I388" t="s">
        <v>403</v>
      </c>
      <c r="J388" t="s">
        <v>238</v>
      </c>
    </row>
    <row r="389" spans="1:10" x14ac:dyDescent="0.25">
      <c r="A389" s="15">
        <v>10490207</v>
      </c>
      <c r="B389" s="15">
        <v>104902</v>
      </c>
      <c r="C389">
        <v>7</v>
      </c>
      <c r="D389" t="s">
        <v>293</v>
      </c>
      <c r="E389">
        <v>650</v>
      </c>
      <c r="F389" s="47" t="s">
        <v>343</v>
      </c>
      <c r="G389" t="s">
        <v>561</v>
      </c>
      <c r="H389" s="37">
        <v>0</v>
      </c>
      <c r="I389" t="s">
        <v>510</v>
      </c>
      <c r="J389" t="s">
        <v>238</v>
      </c>
    </row>
    <row r="390" spans="1:10" x14ac:dyDescent="0.25">
      <c r="A390" s="15">
        <v>10490208</v>
      </c>
      <c r="B390" s="15">
        <v>104902</v>
      </c>
      <c r="C390">
        <v>8</v>
      </c>
      <c r="D390" t="s">
        <v>297</v>
      </c>
      <c r="E390">
        <v>900</v>
      </c>
      <c r="F390" s="47" t="s">
        <v>346</v>
      </c>
      <c r="G390" t="s">
        <v>562</v>
      </c>
      <c r="H390" s="11">
        <v>10490203</v>
      </c>
      <c r="I390" t="s">
        <v>510</v>
      </c>
      <c r="J390" t="s">
        <v>238</v>
      </c>
    </row>
    <row r="391" spans="1:10" x14ac:dyDescent="0.25">
      <c r="A391" s="15">
        <v>10490209</v>
      </c>
      <c r="B391" s="15">
        <v>104902</v>
      </c>
      <c r="C391">
        <v>9</v>
      </c>
      <c r="D391" t="s">
        <v>300</v>
      </c>
      <c r="E391">
        <v>1200</v>
      </c>
      <c r="F391" s="47" t="s">
        <v>348</v>
      </c>
      <c r="G391" t="s">
        <v>563</v>
      </c>
      <c r="H391" s="37">
        <v>0</v>
      </c>
      <c r="I391" t="s">
        <v>513</v>
      </c>
      <c r="J391" t="s">
        <v>238</v>
      </c>
    </row>
    <row r="392" spans="1:10" x14ac:dyDescent="0.25">
      <c r="A392" s="15">
        <v>10490210</v>
      </c>
      <c r="B392" s="15">
        <v>104902</v>
      </c>
      <c r="C392">
        <v>10</v>
      </c>
      <c r="D392" t="s">
        <v>304</v>
      </c>
      <c r="E392">
        <v>1500</v>
      </c>
      <c r="F392" s="47" t="s">
        <v>351</v>
      </c>
      <c r="G392" t="s">
        <v>564</v>
      </c>
      <c r="H392" s="37">
        <v>0</v>
      </c>
      <c r="I392" t="s">
        <v>515</v>
      </c>
      <c r="J392" t="s">
        <v>238</v>
      </c>
    </row>
    <row r="393" spans="1:10" x14ac:dyDescent="0.25">
      <c r="A393" s="50">
        <v>10290401</v>
      </c>
      <c r="B393" s="50">
        <v>102904</v>
      </c>
      <c r="C393">
        <v>1</v>
      </c>
      <c r="D393" t="s">
        <v>273</v>
      </c>
      <c r="E393">
        <v>0</v>
      </c>
      <c r="F393" s="47" t="s">
        <v>274</v>
      </c>
      <c r="G393" t="s">
        <v>565</v>
      </c>
      <c r="H393" s="11">
        <v>10290401</v>
      </c>
      <c r="I393" t="s">
        <v>329</v>
      </c>
      <c r="J393" t="s">
        <v>240</v>
      </c>
    </row>
    <row r="394" spans="1:10" x14ac:dyDescent="0.25">
      <c r="A394" s="50">
        <v>10290402</v>
      </c>
      <c r="B394" s="50">
        <v>102904</v>
      </c>
      <c r="C394">
        <v>2</v>
      </c>
      <c r="D394" t="s">
        <v>277</v>
      </c>
      <c r="E394">
        <v>50</v>
      </c>
      <c r="F394" s="47" t="s">
        <v>333</v>
      </c>
      <c r="G394" t="s">
        <v>566</v>
      </c>
      <c r="H394" s="37">
        <v>0</v>
      </c>
      <c r="I394" t="s">
        <v>329</v>
      </c>
      <c r="J394" t="s">
        <v>240</v>
      </c>
    </row>
    <row r="395" spans="1:10" x14ac:dyDescent="0.25">
      <c r="A395" s="50">
        <v>10290403</v>
      </c>
      <c r="B395" s="50">
        <v>102904</v>
      </c>
      <c r="C395">
        <v>3</v>
      </c>
      <c r="D395" t="s">
        <v>280</v>
      </c>
      <c r="E395">
        <v>100</v>
      </c>
      <c r="F395" s="47" t="s">
        <v>335</v>
      </c>
      <c r="G395" t="s">
        <v>567</v>
      </c>
      <c r="H395" s="37">
        <v>0</v>
      </c>
      <c r="I395" t="s">
        <v>331</v>
      </c>
      <c r="J395" t="s">
        <v>240</v>
      </c>
    </row>
    <row r="396" spans="1:10" x14ac:dyDescent="0.25">
      <c r="A396" s="50">
        <v>10290404</v>
      </c>
      <c r="B396" s="50">
        <v>102904</v>
      </c>
      <c r="C396">
        <v>4</v>
      </c>
      <c r="D396" t="s">
        <v>283</v>
      </c>
      <c r="E396">
        <v>150</v>
      </c>
      <c r="F396" s="47" t="s">
        <v>337</v>
      </c>
      <c r="G396" t="s">
        <v>568</v>
      </c>
      <c r="H396" s="11">
        <v>10290402</v>
      </c>
      <c r="I396" t="s">
        <v>331</v>
      </c>
      <c r="J396" t="s">
        <v>240</v>
      </c>
    </row>
    <row r="397" spans="1:10" x14ac:dyDescent="0.25">
      <c r="A397" s="50">
        <v>10290405</v>
      </c>
      <c r="B397" s="50">
        <v>102904</v>
      </c>
      <c r="C397">
        <v>5</v>
      </c>
      <c r="D397" t="s">
        <v>287</v>
      </c>
      <c r="E397">
        <v>250</v>
      </c>
      <c r="F397" s="47" t="s">
        <v>339</v>
      </c>
      <c r="G397" t="s">
        <v>569</v>
      </c>
      <c r="H397" s="37">
        <v>0</v>
      </c>
      <c r="I397" t="s">
        <v>331</v>
      </c>
      <c r="J397" t="s">
        <v>240</v>
      </c>
    </row>
    <row r="398" spans="1:10" x14ac:dyDescent="0.25">
      <c r="A398" s="50">
        <v>10290406</v>
      </c>
      <c r="B398" s="50">
        <v>102904</v>
      </c>
      <c r="C398">
        <v>6</v>
      </c>
      <c r="D398" t="s">
        <v>290</v>
      </c>
      <c r="E398">
        <v>400</v>
      </c>
      <c r="F398" s="47" t="s">
        <v>341</v>
      </c>
      <c r="G398" t="s">
        <v>570</v>
      </c>
      <c r="H398" s="37">
        <v>0</v>
      </c>
      <c r="I398" t="s">
        <v>331</v>
      </c>
      <c r="J398" t="s">
        <v>240</v>
      </c>
    </row>
    <row r="399" spans="1:10" x14ac:dyDescent="0.25">
      <c r="A399" s="50">
        <v>10290407</v>
      </c>
      <c r="B399" s="50">
        <v>102904</v>
      </c>
      <c r="C399">
        <v>7</v>
      </c>
      <c r="D399" t="s">
        <v>293</v>
      </c>
      <c r="E399">
        <v>650</v>
      </c>
      <c r="F399" s="47" t="s">
        <v>343</v>
      </c>
      <c r="G399" t="s">
        <v>571</v>
      </c>
      <c r="H399" s="37">
        <v>0</v>
      </c>
      <c r="I399" t="s">
        <v>345</v>
      </c>
      <c r="J399" t="s">
        <v>240</v>
      </c>
    </row>
    <row r="400" spans="1:10" x14ac:dyDescent="0.25">
      <c r="A400" s="50">
        <v>10290408</v>
      </c>
      <c r="B400" s="50">
        <v>102904</v>
      </c>
      <c r="C400">
        <v>8</v>
      </c>
      <c r="D400" t="s">
        <v>297</v>
      </c>
      <c r="E400">
        <v>900</v>
      </c>
      <c r="F400" s="47" t="s">
        <v>346</v>
      </c>
      <c r="G400" t="s">
        <v>572</v>
      </c>
      <c r="H400" s="11">
        <v>10290403</v>
      </c>
      <c r="I400" t="s">
        <v>345</v>
      </c>
      <c r="J400" t="s">
        <v>240</v>
      </c>
    </row>
    <row r="401" spans="1:10" x14ac:dyDescent="0.25">
      <c r="A401" s="50">
        <v>10290409</v>
      </c>
      <c r="B401" s="50">
        <v>102904</v>
      </c>
      <c r="C401">
        <v>9</v>
      </c>
      <c r="D401" t="s">
        <v>300</v>
      </c>
      <c r="E401">
        <v>1200</v>
      </c>
      <c r="F401" s="47" t="s">
        <v>348</v>
      </c>
      <c r="G401" t="s">
        <v>573</v>
      </c>
      <c r="H401" s="37">
        <v>0</v>
      </c>
      <c r="I401" t="s">
        <v>350</v>
      </c>
      <c r="J401" t="s">
        <v>240</v>
      </c>
    </row>
    <row r="402" spans="1:10" x14ac:dyDescent="0.25">
      <c r="A402" s="50">
        <v>10290410</v>
      </c>
      <c r="B402" s="50">
        <v>102904</v>
      </c>
      <c r="C402">
        <v>10</v>
      </c>
      <c r="D402" t="s">
        <v>304</v>
      </c>
      <c r="E402">
        <v>1500</v>
      </c>
      <c r="F402" s="47" t="s">
        <v>351</v>
      </c>
      <c r="G402" t="s">
        <v>574</v>
      </c>
      <c r="H402" s="37">
        <v>0</v>
      </c>
      <c r="I402" t="s">
        <v>353</v>
      </c>
      <c r="J402" t="s">
        <v>240</v>
      </c>
    </row>
    <row r="403" spans="1:10" x14ac:dyDescent="0.25">
      <c r="A403" s="50">
        <v>10390301</v>
      </c>
      <c r="B403" s="50">
        <v>103903</v>
      </c>
      <c r="C403">
        <v>1</v>
      </c>
      <c r="D403" t="s">
        <v>273</v>
      </c>
      <c r="E403">
        <v>0</v>
      </c>
      <c r="F403" s="47" t="s">
        <v>274</v>
      </c>
      <c r="G403" t="s">
        <v>575</v>
      </c>
      <c r="H403" s="11">
        <v>10390301</v>
      </c>
      <c r="I403" t="s">
        <v>385</v>
      </c>
      <c r="J403" t="s">
        <v>242</v>
      </c>
    </row>
    <row r="404" spans="1:10" x14ac:dyDescent="0.25">
      <c r="A404" s="50">
        <v>10390302</v>
      </c>
      <c r="B404" s="50">
        <v>103903</v>
      </c>
      <c r="C404">
        <v>2</v>
      </c>
      <c r="D404" t="s">
        <v>277</v>
      </c>
      <c r="E404">
        <v>50</v>
      </c>
      <c r="F404" s="47" t="s">
        <v>333</v>
      </c>
      <c r="G404" t="s">
        <v>576</v>
      </c>
      <c r="H404" s="37">
        <v>0</v>
      </c>
      <c r="I404" t="s">
        <v>385</v>
      </c>
      <c r="J404" t="s">
        <v>242</v>
      </c>
    </row>
    <row r="405" spans="1:10" x14ac:dyDescent="0.25">
      <c r="A405" s="50">
        <v>10390303</v>
      </c>
      <c r="B405" s="50">
        <v>103903</v>
      </c>
      <c r="C405">
        <v>3</v>
      </c>
      <c r="D405" t="s">
        <v>280</v>
      </c>
      <c r="E405">
        <v>100</v>
      </c>
      <c r="F405" s="47" t="s">
        <v>335</v>
      </c>
      <c r="G405" t="s">
        <v>577</v>
      </c>
      <c r="H405" s="37">
        <v>0</v>
      </c>
      <c r="I405" t="s">
        <v>72</v>
      </c>
      <c r="J405" t="s">
        <v>242</v>
      </c>
    </row>
    <row r="406" spans="1:10" x14ac:dyDescent="0.25">
      <c r="A406" s="50">
        <v>10390304</v>
      </c>
      <c r="B406" s="50">
        <v>103903</v>
      </c>
      <c r="C406">
        <v>4</v>
      </c>
      <c r="D406" t="s">
        <v>283</v>
      </c>
      <c r="E406">
        <v>150</v>
      </c>
      <c r="F406" s="47" t="s">
        <v>337</v>
      </c>
      <c r="G406" t="s">
        <v>578</v>
      </c>
      <c r="H406" s="11">
        <v>10390302</v>
      </c>
      <c r="I406" t="s">
        <v>72</v>
      </c>
      <c r="J406" t="s">
        <v>242</v>
      </c>
    </row>
    <row r="407" spans="1:10" x14ac:dyDescent="0.25">
      <c r="A407" s="50">
        <v>10390305</v>
      </c>
      <c r="B407" s="50">
        <v>103903</v>
      </c>
      <c r="C407">
        <v>5</v>
      </c>
      <c r="D407" t="s">
        <v>287</v>
      </c>
      <c r="E407">
        <v>250</v>
      </c>
      <c r="F407" s="47" t="s">
        <v>339</v>
      </c>
      <c r="G407" t="s">
        <v>579</v>
      </c>
      <c r="H407" s="37">
        <v>0</v>
      </c>
      <c r="I407" t="s">
        <v>72</v>
      </c>
      <c r="J407" t="s">
        <v>242</v>
      </c>
    </row>
    <row r="408" spans="1:10" x14ac:dyDescent="0.25">
      <c r="A408" s="50">
        <v>10390306</v>
      </c>
      <c r="B408" s="50">
        <v>103903</v>
      </c>
      <c r="C408">
        <v>6</v>
      </c>
      <c r="D408" t="s">
        <v>290</v>
      </c>
      <c r="E408">
        <v>400</v>
      </c>
      <c r="F408" s="47" t="s">
        <v>341</v>
      </c>
      <c r="G408" t="s">
        <v>580</v>
      </c>
      <c r="H408" s="37">
        <v>0</v>
      </c>
      <c r="I408" t="s">
        <v>72</v>
      </c>
      <c r="J408" t="s">
        <v>242</v>
      </c>
    </row>
    <row r="409" spans="1:10" x14ac:dyDescent="0.25">
      <c r="A409" s="50">
        <v>10390307</v>
      </c>
      <c r="B409" s="50">
        <v>103903</v>
      </c>
      <c r="C409">
        <v>7</v>
      </c>
      <c r="D409" t="s">
        <v>293</v>
      </c>
      <c r="E409">
        <v>650</v>
      </c>
      <c r="F409" s="47" t="s">
        <v>343</v>
      </c>
      <c r="G409" t="s">
        <v>581</v>
      </c>
      <c r="H409" s="37">
        <v>0</v>
      </c>
      <c r="I409" t="s">
        <v>582</v>
      </c>
      <c r="J409" t="s">
        <v>242</v>
      </c>
    </row>
    <row r="410" spans="1:10" x14ac:dyDescent="0.25">
      <c r="A410" s="50">
        <v>10390308</v>
      </c>
      <c r="B410" s="50">
        <v>103903</v>
      </c>
      <c r="C410">
        <v>8</v>
      </c>
      <c r="D410" t="s">
        <v>297</v>
      </c>
      <c r="E410">
        <v>900</v>
      </c>
      <c r="F410" s="47" t="s">
        <v>346</v>
      </c>
      <c r="G410" t="s">
        <v>583</v>
      </c>
      <c r="H410" s="11">
        <v>10390303</v>
      </c>
      <c r="I410" t="s">
        <v>582</v>
      </c>
      <c r="J410" t="s">
        <v>242</v>
      </c>
    </row>
    <row r="411" spans="1:10" x14ac:dyDescent="0.25">
      <c r="A411" s="50">
        <v>10390309</v>
      </c>
      <c r="B411" s="50">
        <v>103903</v>
      </c>
      <c r="C411">
        <v>9</v>
      </c>
      <c r="D411" t="s">
        <v>300</v>
      </c>
      <c r="E411">
        <v>1200</v>
      </c>
      <c r="F411" s="47" t="s">
        <v>348</v>
      </c>
      <c r="G411" t="s">
        <v>584</v>
      </c>
      <c r="H411" s="37">
        <v>0</v>
      </c>
      <c r="I411" t="s">
        <v>585</v>
      </c>
      <c r="J411" t="s">
        <v>242</v>
      </c>
    </row>
    <row r="412" spans="1:10" x14ac:dyDescent="0.25">
      <c r="A412" s="50">
        <v>10390310</v>
      </c>
      <c r="B412" s="50">
        <v>103903</v>
      </c>
      <c r="C412">
        <v>10</v>
      </c>
      <c r="D412" t="s">
        <v>304</v>
      </c>
      <c r="E412">
        <v>1500</v>
      </c>
      <c r="F412" s="47" t="s">
        <v>351</v>
      </c>
      <c r="G412" t="s">
        <v>586</v>
      </c>
      <c r="H412" s="37">
        <v>0</v>
      </c>
      <c r="I412" t="s">
        <v>587</v>
      </c>
      <c r="J412" t="s">
        <v>242</v>
      </c>
    </row>
    <row r="413" spans="1:10" x14ac:dyDescent="0.25">
      <c r="A413" s="50">
        <v>10490301</v>
      </c>
      <c r="B413" s="50">
        <v>104903</v>
      </c>
      <c r="C413">
        <v>1</v>
      </c>
      <c r="D413" t="s">
        <v>273</v>
      </c>
      <c r="E413">
        <v>0</v>
      </c>
      <c r="F413" s="47" t="s">
        <v>274</v>
      </c>
      <c r="G413" t="s">
        <v>596</v>
      </c>
      <c r="H413" s="11">
        <v>10490301</v>
      </c>
      <c r="I413" t="s">
        <v>597</v>
      </c>
      <c r="J413" t="s">
        <v>244</v>
      </c>
    </row>
    <row r="414" spans="1:10" x14ac:dyDescent="0.25">
      <c r="A414" s="50">
        <v>10490302</v>
      </c>
      <c r="B414" s="50">
        <v>104903</v>
      </c>
      <c r="C414">
        <v>2</v>
      </c>
      <c r="D414" t="s">
        <v>277</v>
      </c>
      <c r="E414">
        <v>300</v>
      </c>
      <c r="F414" s="47" t="s">
        <v>598</v>
      </c>
      <c r="G414" t="s">
        <v>599</v>
      </c>
      <c r="H414" s="37">
        <v>0</v>
      </c>
      <c r="I414" t="s">
        <v>597</v>
      </c>
      <c r="J414" t="s">
        <v>244</v>
      </c>
    </row>
    <row r="415" spans="1:10" x14ac:dyDescent="0.25">
      <c r="A415" s="50">
        <v>10490303</v>
      </c>
      <c r="B415" s="50">
        <v>104903</v>
      </c>
      <c r="C415">
        <v>3</v>
      </c>
      <c r="D415" t="s">
        <v>280</v>
      </c>
      <c r="E415">
        <v>600</v>
      </c>
      <c r="F415" s="47" t="s">
        <v>341</v>
      </c>
      <c r="G415" t="s">
        <v>600</v>
      </c>
      <c r="H415" s="37">
        <v>0</v>
      </c>
      <c r="I415" t="s">
        <v>601</v>
      </c>
      <c r="J415" t="s">
        <v>244</v>
      </c>
    </row>
    <row r="416" spans="1:10" x14ac:dyDescent="0.25">
      <c r="A416" s="50">
        <v>10490304</v>
      </c>
      <c r="B416" s="50">
        <v>104903</v>
      </c>
      <c r="C416">
        <v>4</v>
      </c>
      <c r="D416" t="s">
        <v>283</v>
      </c>
      <c r="E416">
        <v>1200</v>
      </c>
      <c r="F416" s="47" t="s">
        <v>346</v>
      </c>
      <c r="G416" t="s">
        <v>602</v>
      </c>
      <c r="H416" s="11">
        <v>10490302</v>
      </c>
      <c r="I416" t="s">
        <v>601</v>
      </c>
      <c r="J416" t="s">
        <v>244</v>
      </c>
    </row>
    <row r="417" spans="1:10" x14ac:dyDescent="0.25">
      <c r="A417" s="50">
        <v>10490305</v>
      </c>
      <c r="B417" s="50">
        <v>104903</v>
      </c>
      <c r="C417">
        <v>5</v>
      </c>
      <c r="D417" t="s">
        <v>287</v>
      </c>
      <c r="E417">
        <v>2400</v>
      </c>
      <c r="F417" s="47" t="s">
        <v>361</v>
      </c>
      <c r="G417" t="s">
        <v>603</v>
      </c>
      <c r="H417" s="37">
        <v>0</v>
      </c>
      <c r="I417" t="s">
        <v>601</v>
      </c>
      <c r="J417" t="s">
        <v>244</v>
      </c>
    </row>
    <row r="418" spans="1:10" x14ac:dyDescent="0.25">
      <c r="A418" s="50">
        <v>10490306</v>
      </c>
      <c r="B418" s="50">
        <v>104903</v>
      </c>
      <c r="C418">
        <v>6</v>
      </c>
      <c r="D418" t="s">
        <v>290</v>
      </c>
      <c r="E418">
        <v>3600</v>
      </c>
      <c r="F418" s="47" t="s">
        <v>604</v>
      </c>
      <c r="G418" t="s">
        <v>605</v>
      </c>
      <c r="H418" s="37">
        <v>0</v>
      </c>
      <c r="I418" t="s">
        <v>606</v>
      </c>
      <c r="J418" t="s">
        <v>244</v>
      </c>
    </row>
    <row r="419" spans="1:10" x14ac:dyDescent="0.25">
      <c r="A419" s="50">
        <v>10490307</v>
      </c>
      <c r="B419" s="50">
        <v>104903</v>
      </c>
      <c r="C419">
        <v>7</v>
      </c>
      <c r="D419" t="s">
        <v>293</v>
      </c>
      <c r="E419">
        <v>4800</v>
      </c>
      <c r="F419" s="47" t="s">
        <v>607</v>
      </c>
      <c r="G419" t="s">
        <v>608</v>
      </c>
      <c r="H419" s="11">
        <v>10490303</v>
      </c>
      <c r="I419" t="s">
        <v>606</v>
      </c>
      <c r="J419" t="s">
        <v>244</v>
      </c>
    </row>
    <row r="420" spans="1:10" x14ac:dyDescent="0.25">
      <c r="A420" s="50">
        <v>10490308</v>
      </c>
      <c r="B420" s="50">
        <v>104903</v>
      </c>
      <c r="C420">
        <v>8</v>
      </c>
      <c r="D420" t="s">
        <v>297</v>
      </c>
      <c r="E420">
        <v>5600</v>
      </c>
      <c r="F420" s="47" t="s">
        <v>366</v>
      </c>
      <c r="G420" t="s">
        <v>609</v>
      </c>
      <c r="H420" s="1">
        <v>0</v>
      </c>
      <c r="I420" t="s">
        <v>165</v>
      </c>
      <c r="J420" t="s">
        <v>244</v>
      </c>
    </row>
    <row r="421" spans="1:10" x14ac:dyDescent="0.25">
      <c r="A421" s="50">
        <v>10490309</v>
      </c>
      <c r="B421" s="50">
        <v>104903</v>
      </c>
      <c r="C421">
        <v>9</v>
      </c>
      <c r="D421" t="s">
        <v>300</v>
      </c>
      <c r="E421">
        <v>10800</v>
      </c>
      <c r="F421" s="47" t="s">
        <v>610</v>
      </c>
      <c r="G421" t="s">
        <v>611</v>
      </c>
      <c r="H421" s="37">
        <v>0</v>
      </c>
      <c r="I421" t="s">
        <v>165</v>
      </c>
      <c r="J421" t="s">
        <v>244</v>
      </c>
    </row>
    <row r="422" spans="1:10" x14ac:dyDescent="0.25">
      <c r="A422" s="50">
        <v>10490310</v>
      </c>
      <c r="B422" s="50">
        <v>104903</v>
      </c>
      <c r="C422">
        <v>10</v>
      </c>
      <c r="D422" t="s">
        <v>304</v>
      </c>
      <c r="E422">
        <v>16400</v>
      </c>
      <c r="F422" s="47" t="s">
        <v>612</v>
      </c>
      <c r="G422" t="s">
        <v>613</v>
      </c>
      <c r="H422" s="11">
        <v>10490304</v>
      </c>
      <c r="I422" t="s">
        <v>165</v>
      </c>
      <c r="J422" t="s">
        <v>244</v>
      </c>
    </row>
    <row r="423" spans="1:10" x14ac:dyDescent="0.25">
      <c r="A423" s="50">
        <v>10890101</v>
      </c>
      <c r="B423" s="50">
        <v>108901</v>
      </c>
      <c r="C423">
        <v>1</v>
      </c>
      <c r="D423" t="s">
        <v>273</v>
      </c>
      <c r="E423">
        <v>0</v>
      </c>
      <c r="F423" s="47" t="s">
        <v>274</v>
      </c>
      <c r="G423" t="s">
        <v>667</v>
      </c>
      <c r="H423" s="11">
        <v>10890101</v>
      </c>
      <c r="I423" t="s">
        <v>414</v>
      </c>
      <c r="J423" t="s">
        <v>246</v>
      </c>
    </row>
    <row r="424" spans="1:10" x14ac:dyDescent="0.25">
      <c r="A424" s="50">
        <v>10890102</v>
      </c>
      <c r="B424" s="50">
        <v>108901</v>
      </c>
      <c r="C424">
        <v>2</v>
      </c>
      <c r="D424" t="s">
        <v>277</v>
      </c>
      <c r="E424">
        <v>50</v>
      </c>
      <c r="F424" s="47" t="s">
        <v>333</v>
      </c>
      <c r="G424" t="s">
        <v>668</v>
      </c>
      <c r="H424" s="37">
        <v>0</v>
      </c>
      <c r="I424" t="s">
        <v>414</v>
      </c>
      <c r="J424" t="s">
        <v>246</v>
      </c>
    </row>
    <row r="425" spans="1:10" x14ac:dyDescent="0.25">
      <c r="A425" s="50">
        <v>10890103</v>
      </c>
      <c r="B425" s="50">
        <v>108901</v>
      </c>
      <c r="C425">
        <v>3</v>
      </c>
      <c r="D425" t="s">
        <v>280</v>
      </c>
      <c r="E425">
        <v>100</v>
      </c>
      <c r="F425" s="47" t="s">
        <v>335</v>
      </c>
      <c r="G425" t="s">
        <v>669</v>
      </c>
      <c r="H425" s="37">
        <v>0</v>
      </c>
      <c r="I425" t="s">
        <v>417</v>
      </c>
      <c r="J425" t="s">
        <v>246</v>
      </c>
    </row>
    <row r="426" spans="1:10" x14ac:dyDescent="0.25">
      <c r="A426" s="50">
        <v>10890104</v>
      </c>
      <c r="B426" s="50">
        <v>108901</v>
      </c>
      <c r="C426">
        <v>4</v>
      </c>
      <c r="D426" t="s">
        <v>283</v>
      </c>
      <c r="E426">
        <v>150</v>
      </c>
      <c r="F426" s="47" t="s">
        <v>337</v>
      </c>
      <c r="G426" t="s">
        <v>670</v>
      </c>
      <c r="H426" s="11">
        <v>10890102</v>
      </c>
      <c r="I426" t="s">
        <v>417</v>
      </c>
      <c r="J426" t="s">
        <v>246</v>
      </c>
    </row>
    <row r="427" spans="1:10" x14ac:dyDescent="0.25">
      <c r="A427" s="50">
        <v>10890105</v>
      </c>
      <c r="B427" s="50">
        <v>108901</v>
      </c>
      <c r="C427">
        <v>5</v>
      </c>
      <c r="D427" t="s">
        <v>287</v>
      </c>
      <c r="E427">
        <v>250</v>
      </c>
      <c r="F427" s="47" t="s">
        <v>339</v>
      </c>
      <c r="G427" t="s">
        <v>671</v>
      </c>
      <c r="H427" s="37">
        <v>0</v>
      </c>
      <c r="I427" t="s">
        <v>417</v>
      </c>
      <c r="J427" t="s">
        <v>246</v>
      </c>
    </row>
    <row r="428" spans="1:10" x14ac:dyDescent="0.25">
      <c r="A428" s="50">
        <v>10890106</v>
      </c>
      <c r="B428" s="50">
        <v>108901</v>
      </c>
      <c r="C428">
        <v>6</v>
      </c>
      <c r="D428" t="s">
        <v>290</v>
      </c>
      <c r="E428">
        <v>400</v>
      </c>
      <c r="F428" s="47" t="s">
        <v>341</v>
      </c>
      <c r="G428" t="s">
        <v>672</v>
      </c>
      <c r="H428" s="37">
        <v>0</v>
      </c>
      <c r="I428" t="s">
        <v>417</v>
      </c>
      <c r="J428" t="s">
        <v>246</v>
      </c>
    </row>
    <row r="429" spans="1:10" x14ac:dyDescent="0.25">
      <c r="A429" s="50">
        <v>10890107</v>
      </c>
      <c r="B429" s="50">
        <v>108901</v>
      </c>
      <c r="C429">
        <v>7</v>
      </c>
      <c r="D429" t="s">
        <v>293</v>
      </c>
      <c r="E429">
        <v>650</v>
      </c>
      <c r="F429" s="47" t="s">
        <v>343</v>
      </c>
      <c r="G429" t="s">
        <v>673</v>
      </c>
      <c r="H429" s="37">
        <v>0</v>
      </c>
      <c r="I429" t="s">
        <v>472</v>
      </c>
      <c r="J429" t="s">
        <v>246</v>
      </c>
    </row>
    <row r="430" spans="1:10" x14ac:dyDescent="0.25">
      <c r="A430" s="50">
        <v>10890108</v>
      </c>
      <c r="B430" s="50">
        <v>108901</v>
      </c>
      <c r="C430">
        <v>8</v>
      </c>
      <c r="D430" t="s">
        <v>297</v>
      </c>
      <c r="E430">
        <v>900</v>
      </c>
      <c r="F430" s="47" t="s">
        <v>346</v>
      </c>
      <c r="G430" t="s">
        <v>674</v>
      </c>
      <c r="H430" s="11">
        <v>10890103</v>
      </c>
      <c r="I430" t="s">
        <v>472</v>
      </c>
      <c r="J430" t="s">
        <v>246</v>
      </c>
    </row>
    <row r="431" spans="1:10" x14ac:dyDescent="0.25">
      <c r="A431" s="50">
        <v>10890109</v>
      </c>
      <c r="B431" s="50">
        <v>108901</v>
      </c>
      <c r="C431">
        <v>9</v>
      </c>
      <c r="D431" t="s">
        <v>300</v>
      </c>
      <c r="E431">
        <v>1200</v>
      </c>
      <c r="F431" s="47" t="s">
        <v>348</v>
      </c>
      <c r="G431" t="s">
        <v>675</v>
      </c>
      <c r="H431" s="37">
        <v>0</v>
      </c>
      <c r="I431" t="s">
        <v>475</v>
      </c>
      <c r="J431" t="s">
        <v>246</v>
      </c>
    </row>
    <row r="432" spans="1:10" x14ac:dyDescent="0.25">
      <c r="A432" s="50">
        <v>10890110</v>
      </c>
      <c r="B432" s="50">
        <v>108901</v>
      </c>
      <c r="C432">
        <v>10</v>
      </c>
      <c r="D432" t="s">
        <v>304</v>
      </c>
      <c r="E432">
        <v>1500</v>
      </c>
      <c r="F432" s="47" t="s">
        <v>351</v>
      </c>
      <c r="G432" t="s">
        <v>676</v>
      </c>
      <c r="H432" s="37">
        <v>0</v>
      </c>
      <c r="I432" t="s">
        <v>477</v>
      </c>
      <c r="J432" t="s">
        <v>246</v>
      </c>
    </row>
  </sheetData>
  <phoneticPr fontId="21" type="noConversion"/>
  <pageMargins left="0.7" right="0.7" top="0.75" bottom="0.75" header="0.3" footer="0.3"/>
  <pageSetup paperSize="9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1"/>
  <sheetViews>
    <sheetView zoomScale="85" zoomScaleNormal="85" workbookViewId="0">
      <selection activeCell="F4" sqref="F4"/>
    </sheetView>
  </sheetViews>
  <sheetFormatPr defaultColWidth="9" defaultRowHeight="14.4" x14ac:dyDescent="0.25"/>
  <cols>
    <col min="1" max="1" width="13.21875" customWidth="1"/>
    <col min="2" max="2" width="12.109375" customWidth="1"/>
    <col min="4" max="4" width="11.33203125" customWidth="1"/>
    <col min="5" max="5" width="12.77734375" customWidth="1"/>
    <col min="6" max="6" width="50.44140625" customWidth="1"/>
    <col min="7" max="7" width="22" customWidth="1"/>
    <col min="8" max="8" width="9.88671875" customWidth="1"/>
    <col min="9" max="10" width="5.77734375" customWidth="1"/>
    <col min="11" max="11" width="16.88671875" customWidth="1"/>
    <col min="12" max="12" width="5.77734375" customWidth="1"/>
    <col min="13" max="14" width="41.109375" customWidth="1"/>
    <col min="15" max="15" width="19.77734375" customWidth="1"/>
    <col min="17" max="17" width="16.44140625" customWidth="1"/>
  </cols>
  <sheetData>
    <row r="1" spans="1:17" x14ac:dyDescent="0.25">
      <c r="A1" s="36" t="s">
        <v>677</v>
      </c>
      <c r="B1" s="36" t="s">
        <v>678</v>
      </c>
      <c r="C1" s="36" t="s">
        <v>679</v>
      </c>
      <c r="D1" s="36" t="s">
        <v>680</v>
      </c>
      <c r="E1" s="36" t="s">
        <v>681</v>
      </c>
      <c r="F1" s="36" t="s">
        <v>262</v>
      </c>
      <c r="G1" s="36" t="s">
        <v>682</v>
      </c>
      <c r="H1" s="36" t="s">
        <v>683</v>
      </c>
      <c r="I1" s="36" t="s">
        <v>684</v>
      </c>
      <c r="J1" s="36" t="s">
        <v>685</v>
      </c>
      <c r="K1" s="36" t="s">
        <v>686</v>
      </c>
      <c r="L1" s="36" t="s">
        <v>687</v>
      </c>
      <c r="M1" s="36" t="s">
        <v>688</v>
      </c>
      <c r="N1" s="36" t="s">
        <v>689</v>
      </c>
      <c r="O1" s="36" t="s">
        <v>12</v>
      </c>
      <c r="P1" s="36" t="s">
        <v>690</v>
      </c>
      <c r="Q1" t="s">
        <v>691</v>
      </c>
    </row>
    <row r="2" spans="1:17" x14ac:dyDescent="0.25">
      <c r="A2" t="s">
        <v>13</v>
      </c>
      <c r="B2" t="s">
        <v>14</v>
      </c>
      <c r="C2" t="s">
        <v>16</v>
      </c>
      <c r="D2" t="s">
        <v>266</v>
      </c>
      <c r="E2" t="s">
        <v>692</v>
      </c>
      <c r="F2" t="s">
        <v>270</v>
      </c>
      <c r="G2" t="s">
        <v>693</v>
      </c>
      <c r="H2" t="s">
        <v>269</v>
      </c>
      <c r="K2" t="s">
        <v>686</v>
      </c>
      <c r="L2" t="s">
        <v>687</v>
      </c>
      <c r="M2" t="s">
        <v>688</v>
      </c>
      <c r="N2" t="s">
        <v>694</v>
      </c>
      <c r="O2" t="s">
        <v>12</v>
      </c>
      <c r="P2" t="s">
        <v>690</v>
      </c>
      <c r="Q2" s="44" t="s">
        <v>691</v>
      </c>
    </row>
    <row r="3" spans="1:17" ht="28.8" x14ac:dyDescent="0.25">
      <c r="A3" s="1">
        <v>10100101</v>
      </c>
      <c r="B3" s="36" t="s">
        <v>695</v>
      </c>
      <c r="C3" s="36" t="s">
        <v>696</v>
      </c>
      <c r="D3" s="1">
        <v>101001</v>
      </c>
      <c r="E3" s="36">
        <v>1</v>
      </c>
      <c r="F3" s="36" t="s">
        <v>697</v>
      </c>
      <c r="G3" s="36" t="s">
        <v>698</v>
      </c>
      <c r="H3" s="36" t="s">
        <v>699</v>
      </c>
      <c r="I3" s="36">
        <v>0</v>
      </c>
      <c r="J3" s="36">
        <v>0</v>
      </c>
      <c r="K3" s="36">
        <v>0</v>
      </c>
      <c r="L3" s="36">
        <v>0</v>
      </c>
      <c r="M3" s="36" t="s">
        <v>700</v>
      </c>
      <c r="N3" s="36" t="s">
        <v>701</v>
      </c>
      <c r="O3" s="1" t="s">
        <v>702</v>
      </c>
      <c r="P3" s="36"/>
      <c r="Q3" s="45" t="s">
        <v>703</v>
      </c>
    </row>
    <row r="4" spans="1:17" ht="28.8" x14ac:dyDescent="0.25">
      <c r="A4" s="1">
        <v>10100102</v>
      </c>
      <c r="B4" s="36" t="s">
        <v>704</v>
      </c>
      <c r="C4" s="36" t="s">
        <v>705</v>
      </c>
      <c r="D4" s="1">
        <v>101001</v>
      </c>
      <c r="E4" s="36">
        <v>2</v>
      </c>
      <c r="F4" s="36" t="s">
        <v>706</v>
      </c>
      <c r="G4" s="36">
        <v>0</v>
      </c>
      <c r="H4" s="36">
        <v>0</v>
      </c>
      <c r="I4" s="36">
        <v>0</v>
      </c>
      <c r="J4" s="36">
        <v>0</v>
      </c>
      <c r="K4" s="36" t="s">
        <v>707</v>
      </c>
      <c r="L4" s="36">
        <v>0</v>
      </c>
      <c r="M4" s="36" t="s">
        <v>708</v>
      </c>
      <c r="N4" s="36"/>
      <c r="O4" s="36" t="s">
        <v>709</v>
      </c>
      <c r="P4" s="36"/>
    </row>
    <row r="5" spans="1:17" ht="28.8" x14ac:dyDescent="0.25">
      <c r="A5" s="1">
        <v>10100201</v>
      </c>
      <c r="B5" s="36" t="s">
        <v>710</v>
      </c>
      <c r="C5" s="36" t="s">
        <v>696</v>
      </c>
      <c r="D5" s="1">
        <v>101002</v>
      </c>
      <c r="E5" s="36">
        <v>3</v>
      </c>
      <c r="F5" s="36" t="s">
        <v>711</v>
      </c>
      <c r="G5" s="36" t="s">
        <v>712</v>
      </c>
      <c r="H5" s="36" t="s">
        <v>699</v>
      </c>
      <c r="I5" s="36">
        <v>0</v>
      </c>
      <c r="J5" s="36">
        <v>0</v>
      </c>
      <c r="K5" s="36">
        <v>0</v>
      </c>
      <c r="L5" s="36">
        <v>0</v>
      </c>
      <c r="M5" s="36" t="s">
        <v>713</v>
      </c>
      <c r="N5" s="36" t="s">
        <v>714</v>
      </c>
      <c r="O5" s="1" t="s">
        <v>715</v>
      </c>
      <c r="P5" s="36"/>
      <c r="Q5" s="45" t="s">
        <v>716</v>
      </c>
    </row>
    <row r="6" spans="1:17" ht="28.8" x14ac:dyDescent="0.25">
      <c r="A6" s="1">
        <v>10100202</v>
      </c>
      <c r="B6" s="36" t="s">
        <v>717</v>
      </c>
      <c r="C6" s="36" t="s">
        <v>705</v>
      </c>
      <c r="D6" s="1">
        <v>101002</v>
      </c>
      <c r="E6" s="36">
        <v>4</v>
      </c>
      <c r="F6" s="36" t="s">
        <v>718</v>
      </c>
      <c r="G6" s="36">
        <v>0</v>
      </c>
      <c r="H6" s="36">
        <v>0</v>
      </c>
      <c r="I6" s="36">
        <v>0</v>
      </c>
      <c r="J6" s="36">
        <v>0</v>
      </c>
      <c r="K6" s="36" t="s">
        <v>719</v>
      </c>
      <c r="L6" s="36">
        <v>0</v>
      </c>
      <c r="M6" s="36" t="s">
        <v>720</v>
      </c>
      <c r="N6" s="36" t="s">
        <v>721</v>
      </c>
      <c r="O6" s="1" t="s">
        <v>722</v>
      </c>
      <c r="P6" s="36"/>
    </row>
    <row r="7" spans="1:17" ht="28.8" x14ac:dyDescent="0.25">
      <c r="A7" s="1">
        <v>10200101</v>
      </c>
      <c r="B7" s="36" t="s">
        <v>723</v>
      </c>
      <c r="C7" s="36" t="s">
        <v>696</v>
      </c>
      <c r="D7" s="1">
        <v>102001</v>
      </c>
      <c r="E7" s="36">
        <v>5</v>
      </c>
      <c r="F7" s="36" t="s">
        <v>724</v>
      </c>
      <c r="G7" s="36" t="s">
        <v>725</v>
      </c>
      <c r="H7" s="36" t="s">
        <v>726</v>
      </c>
      <c r="I7" s="36">
        <v>0</v>
      </c>
      <c r="J7" s="36">
        <v>0</v>
      </c>
      <c r="K7" s="36">
        <v>0</v>
      </c>
      <c r="L7" s="36">
        <v>0</v>
      </c>
      <c r="M7" s="36" t="s">
        <v>727</v>
      </c>
      <c r="N7" s="36" t="s">
        <v>728</v>
      </c>
      <c r="O7" s="1" t="s">
        <v>729</v>
      </c>
      <c r="P7" s="36"/>
      <c r="Q7" s="36" t="s">
        <v>730</v>
      </c>
    </row>
    <row r="8" spans="1:17" ht="43.2" x14ac:dyDescent="0.25">
      <c r="A8" s="1">
        <v>10200102</v>
      </c>
      <c r="B8" s="36" t="s">
        <v>731</v>
      </c>
      <c r="C8" s="36" t="s">
        <v>705</v>
      </c>
      <c r="D8" s="1">
        <v>102001</v>
      </c>
      <c r="E8" s="36">
        <v>6</v>
      </c>
      <c r="F8" s="36" t="s">
        <v>732</v>
      </c>
      <c r="G8" s="36">
        <v>0</v>
      </c>
      <c r="H8" s="36">
        <v>0</v>
      </c>
      <c r="I8" s="36">
        <v>0</v>
      </c>
      <c r="J8" s="36">
        <v>0</v>
      </c>
      <c r="K8" s="36" t="s">
        <v>733</v>
      </c>
      <c r="L8" s="36">
        <v>0</v>
      </c>
      <c r="M8" s="36" t="s">
        <v>734</v>
      </c>
      <c r="N8" s="36" t="s">
        <v>735</v>
      </c>
      <c r="O8" s="1" t="s">
        <v>736</v>
      </c>
      <c r="P8" s="36"/>
    </row>
    <row r="9" spans="1:17" ht="28.8" x14ac:dyDescent="0.25">
      <c r="A9" s="1">
        <v>10200201</v>
      </c>
      <c r="B9" s="36" t="s">
        <v>737</v>
      </c>
      <c r="C9" s="36" t="s">
        <v>696</v>
      </c>
      <c r="D9" s="1">
        <v>102002</v>
      </c>
      <c r="E9" s="36">
        <v>7</v>
      </c>
      <c r="F9" s="36" t="s">
        <v>738</v>
      </c>
      <c r="G9" s="36" t="s">
        <v>698</v>
      </c>
      <c r="H9" s="36" t="s">
        <v>739</v>
      </c>
      <c r="I9" s="36">
        <v>0</v>
      </c>
      <c r="J9" s="36">
        <v>0</v>
      </c>
      <c r="K9" s="36">
        <v>0</v>
      </c>
      <c r="L9" s="36">
        <v>0</v>
      </c>
      <c r="M9" s="36" t="s">
        <v>740</v>
      </c>
      <c r="N9" s="36" t="s">
        <v>741</v>
      </c>
      <c r="O9" s="1" t="s">
        <v>742</v>
      </c>
      <c r="P9" s="36"/>
      <c r="Q9" s="36" t="s">
        <v>743</v>
      </c>
    </row>
    <row r="10" spans="1:17" ht="43.2" x14ac:dyDescent="0.25">
      <c r="A10" s="1">
        <v>10200202</v>
      </c>
      <c r="B10" s="36" t="s">
        <v>744</v>
      </c>
      <c r="C10" s="36" t="s">
        <v>705</v>
      </c>
      <c r="D10" s="1">
        <v>102002</v>
      </c>
      <c r="E10" s="36">
        <v>8</v>
      </c>
      <c r="F10" s="36" t="s">
        <v>745</v>
      </c>
      <c r="G10" s="36">
        <v>0</v>
      </c>
      <c r="H10" s="36">
        <v>0</v>
      </c>
      <c r="I10" s="36">
        <v>0</v>
      </c>
      <c r="J10" s="36">
        <v>0</v>
      </c>
      <c r="K10" s="36" t="s">
        <v>746</v>
      </c>
      <c r="L10" s="36">
        <v>0</v>
      </c>
      <c r="M10" s="36" t="s">
        <v>747</v>
      </c>
      <c r="N10" s="36" t="s">
        <v>748</v>
      </c>
      <c r="O10" s="1" t="s">
        <v>749</v>
      </c>
      <c r="P10" s="36"/>
    </row>
    <row r="11" spans="1:17" ht="28.8" x14ac:dyDescent="0.25">
      <c r="A11" s="1">
        <v>10200203</v>
      </c>
      <c r="B11" s="36" t="s">
        <v>750</v>
      </c>
      <c r="C11" s="36" t="s">
        <v>705</v>
      </c>
      <c r="D11" s="1">
        <v>102002</v>
      </c>
      <c r="E11" s="36">
        <v>9</v>
      </c>
      <c r="F11" s="36" t="s">
        <v>751</v>
      </c>
      <c r="G11" s="36">
        <v>0</v>
      </c>
      <c r="H11" s="36">
        <v>0</v>
      </c>
      <c r="I11" s="36">
        <v>0</v>
      </c>
      <c r="J11" s="36">
        <v>0</v>
      </c>
      <c r="K11" s="36" t="s">
        <v>752</v>
      </c>
      <c r="L11" s="36"/>
      <c r="M11" s="36" t="s">
        <v>753</v>
      </c>
      <c r="N11" s="36"/>
      <c r="O11" s="1" t="s">
        <v>754</v>
      </c>
      <c r="P11" s="36"/>
    </row>
    <row r="12" spans="1:17" ht="28.8" x14ac:dyDescent="0.25">
      <c r="A12" s="1">
        <v>10300101</v>
      </c>
      <c r="B12" s="36" t="s">
        <v>755</v>
      </c>
      <c r="C12" s="36" t="s">
        <v>696</v>
      </c>
      <c r="D12" s="1">
        <v>103001</v>
      </c>
      <c r="E12" s="36">
        <v>10</v>
      </c>
      <c r="F12" s="36" t="s">
        <v>756</v>
      </c>
      <c r="G12" s="36" t="s">
        <v>757</v>
      </c>
      <c r="H12" s="36" t="s">
        <v>758</v>
      </c>
      <c r="I12" s="36">
        <v>0</v>
      </c>
      <c r="J12" s="36">
        <v>0</v>
      </c>
      <c r="K12" s="36">
        <v>0</v>
      </c>
      <c r="L12" s="36">
        <v>0</v>
      </c>
      <c r="M12" s="36" t="s">
        <v>759</v>
      </c>
      <c r="N12" s="36" t="s">
        <v>760</v>
      </c>
      <c r="O12" s="1" t="s">
        <v>761</v>
      </c>
      <c r="P12" s="36"/>
      <c r="Q12" s="1" t="s">
        <v>762</v>
      </c>
    </row>
    <row r="13" spans="1:17" ht="37.799999999999997" customHeight="1" x14ac:dyDescent="0.25">
      <c r="A13" s="1">
        <v>10300102</v>
      </c>
      <c r="B13" s="36" t="s">
        <v>763</v>
      </c>
      <c r="C13" s="36" t="s">
        <v>705</v>
      </c>
      <c r="D13" s="1">
        <v>103001</v>
      </c>
      <c r="E13" s="36">
        <v>1</v>
      </c>
      <c r="F13" s="36" t="s">
        <v>764</v>
      </c>
      <c r="G13" s="36">
        <v>0</v>
      </c>
      <c r="H13" s="36">
        <v>0</v>
      </c>
      <c r="I13" s="36">
        <v>0</v>
      </c>
      <c r="J13" s="36">
        <v>0</v>
      </c>
      <c r="K13" s="36" t="s">
        <v>765</v>
      </c>
      <c r="L13" s="36">
        <v>0</v>
      </c>
      <c r="M13" s="36" t="s">
        <v>766</v>
      </c>
      <c r="N13" s="36" t="s">
        <v>767</v>
      </c>
      <c r="O13" s="1" t="s">
        <v>768</v>
      </c>
      <c r="P13" s="36"/>
      <c r="Q13" s="46"/>
    </row>
    <row r="14" spans="1:17" ht="36.6" customHeight="1" x14ac:dyDescent="0.25">
      <c r="A14" s="1">
        <v>10300201</v>
      </c>
      <c r="B14" s="36" t="s">
        <v>769</v>
      </c>
      <c r="C14" s="36" t="s">
        <v>696</v>
      </c>
      <c r="D14" s="1">
        <v>103002</v>
      </c>
      <c r="E14" s="36">
        <v>1</v>
      </c>
      <c r="F14" s="36" t="s">
        <v>770</v>
      </c>
      <c r="G14" s="36" t="s">
        <v>771</v>
      </c>
      <c r="H14" s="36" t="s">
        <v>772</v>
      </c>
      <c r="I14" s="36">
        <v>0</v>
      </c>
      <c r="J14" s="36">
        <v>0</v>
      </c>
      <c r="K14" s="36">
        <v>0</v>
      </c>
      <c r="L14" s="36">
        <v>0</v>
      </c>
      <c r="M14" s="36" t="s">
        <v>773</v>
      </c>
      <c r="N14" s="36" t="s">
        <v>774</v>
      </c>
      <c r="O14" s="1" t="s">
        <v>775</v>
      </c>
      <c r="P14" s="36"/>
      <c r="Q14" s="1" t="s">
        <v>776</v>
      </c>
    </row>
    <row r="15" spans="1:17" ht="28.8" x14ac:dyDescent="0.25">
      <c r="A15" s="1">
        <v>10300202</v>
      </c>
      <c r="B15" s="36" t="s">
        <v>777</v>
      </c>
      <c r="C15" s="36" t="s">
        <v>705</v>
      </c>
      <c r="D15" s="1">
        <v>103002</v>
      </c>
      <c r="E15" s="36">
        <v>1</v>
      </c>
      <c r="F15" s="36" t="s">
        <v>778</v>
      </c>
      <c r="G15" s="36">
        <v>0</v>
      </c>
      <c r="H15" s="36">
        <v>0</v>
      </c>
      <c r="I15" s="36">
        <v>0</v>
      </c>
      <c r="J15" s="36">
        <v>0</v>
      </c>
      <c r="K15" s="36" t="s">
        <v>779</v>
      </c>
      <c r="L15" s="36">
        <v>0</v>
      </c>
      <c r="M15" s="36" t="s">
        <v>780</v>
      </c>
      <c r="N15" s="36" t="s">
        <v>781</v>
      </c>
      <c r="O15" s="1" t="s">
        <v>782</v>
      </c>
      <c r="P15" s="36"/>
    </row>
    <row r="16" spans="1:17" ht="38.4" customHeight="1" x14ac:dyDescent="0.25">
      <c r="A16" s="1">
        <v>10400101</v>
      </c>
      <c r="B16" s="36" t="s">
        <v>783</v>
      </c>
      <c r="C16" s="36" t="s">
        <v>696</v>
      </c>
      <c r="D16" s="1">
        <v>104001</v>
      </c>
      <c r="E16" s="36">
        <v>1</v>
      </c>
      <c r="F16" s="36" t="s">
        <v>784</v>
      </c>
      <c r="G16" s="36" t="s">
        <v>785</v>
      </c>
      <c r="H16" s="36" t="s">
        <v>786</v>
      </c>
      <c r="I16" s="36">
        <v>0</v>
      </c>
      <c r="J16" s="36">
        <v>0</v>
      </c>
      <c r="K16" s="36">
        <v>0</v>
      </c>
      <c r="L16" s="36">
        <v>0</v>
      </c>
      <c r="M16" s="36" t="s">
        <v>787</v>
      </c>
      <c r="N16" s="36" t="s">
        <v>788</v>
      </c>
      <c r="O16" s="1" t="s">
        <v>789</v>
      </c>
      <c r="P16" s="36"/>
      <c r="Q16" s="36" t="s">
        <v>790</v>
      </c>
    </row>
    <row r="17" spans="1:17" ht="43.2" x14ac:dyDescent="0.25">
      <c r="A17" s="1">
        <v>10400102</v>
      </c>
      <c r="B17" s="36" t="s">
        <v>791</v>
      </c>
      <c r="C17" s="36" t="s">
        <v>705</v>
      </c>
      <c r="D17" s="1">
        <v>104001</v>
      </c>
      <c r="E17" s="36">
        <v>1</v>
      </c>
      <c r="F17" s="36" t="s">
        <v>792</v>
      </c>
      <c r="G17" s="36">
        <v>0</v>
      </c>
      <c r="H17" s="36">
        <v>0</v>
      </c>
      <c r="I17" s="36">
        <v>0</v>
      </c>
      <c r="J17" s="36">
        <v>0</v>
      </c>
      <c r="K17" s="36" t="s">
        <v>793</v>
      </c>
      <c r="L17" s="36">
        <v>0</v>
      </c>
      <c r="M17" s="36" t="s">
        <v>794</v>
      </c>
      <c r="N17" s="36"/>
      <c r="O17" s="1" t="s">
        <v>795</v>
      </c>
      <c r="P17" s="36"/>
    </row>
    <row r="18" spans="1:17" ht="43.2" x14ac:dyDescent="0.25">
      <c r="A18" s="1">
        <v>10700101</v>
      </c>
      <c r="B18" s="36" t="s">
        <v>796</v>
      </c>
      <c r="C18" s="36" t="s">
        <v>696</v>
      </c>
      <c r="D18" s="1">
        <v>107001</v>
      </c>
      <c r="E18" s="36">
        <v>1</v>
      </c>
      <c r="F18" s="36" t="s">
        <v>797</v>
      </c>
      <c r="G18" s="36" t="s">
        <v>757</v>
      </c>
      <c r="H18" s="36" t="s">
        <v>798</v>
      </c>
      <c r="I18" s="36">
        <v>0</v>
      </c>
      <c r="J18" s="36">
        <v>0</v>
      </c>
      <c r="K18" s="36">
        <v>0</v>
      </c>
      <c r="L18" s="36">
        <v>0</v>
      </c>
      <c r="M18" s="36" t="s">
        <v>799</v>
      </c>
      <c r="N18" s="36" t="s">
        <v>800</v>
      </c>
      <c r="O18" s="1" t="s">
        <v>801</v>
      </c>
      <c r="P18" s="36"/>
      <c r="Q18" s="36" t="s">
        <v>802</v>
      </c>
    </row>
    <row r="19" spans="1:17" ht="43.2" x14ac:dyDescent="0.25">
      <c r="A19" s="1">
        <v>10700102</v>
      </c>
      <c r="B19" s="36" t="s">
        <v>803</v>
      </c>
      <c r="C19" s="36" t="s">
        <v>705</v>
      </c>
      <c r="D19" s="1">
        <v>107001</v>
      </c>
      <c r="E19" s="36">
        <v>1</v>
      </c>
      <c r="F19" s="36" t="s">
        <v>804</v>
      </c>
      <c r="G19" s="36">
        <v>0</v>
      </c>
      <c r="H19" s="36">
        <v>0</v>
      </c>
      <c r="I19" s="36">
        <v>0</v>
      </c>
      <c r="J19" s="36">
        <v>0</v>
      </c>
      <c r="K19" s="36" t="s">
        <v>805</v>
      </c>
      <c r="L19" s="36">
        <v>0</v>
      </c>
      <c r="M19" s="36" t="s">
        <v>806</v>
      </c>
      <c r="N19" s="36"/>
      <c r="O19" s="1" t="s">
        <v>807</v>
      </c>
      <c r="P19" s="36"/>
      <c r="Q19" s="36" t="s">
        <v>808</v>
      </c>
    </row>
    <row r="20" spans="1:17" ht="28.8" x14ac:dyDescent="0.25">
      <c r="A20" s="1">
        <v>10900101</v>
      </c>
      <c r="B20" s="36" t="s">
        <v>809</v>
      </c>
      <c r="C20" s="36" t="s">
        <v>696</v>
      </c>
      <c r="D20" s="1">
        <v>109001</v>
      </c>
      <c r="E20" s="36">
        <v>1</v>
      </c>
      <c r="F20" s="36" t="s">
        <v>810</v>
      </c>
      <c r="G20" s="36" t="s">
        <v>811</v>
      </c>
      <c r="H20" s="36" t="s">
        <v>812</v>
      </c>
      <c r="I20" s="36">
        <v>0</v>
      </c>
      <c r="J20" s="36">
        <v>0</v>
      </c>
      <c r="K20" s="36">
        <v>0</v>
      </c>
      <c r="L20" s="36">
        <v>0</v>
      </c>
      <c r="M20" s="36" t="s">
        <v>813</v>
      </c>
      <c r="N20" s="36" t="s">
        <v>814</v>
      </c>
      <c r="O20" s="1" t="s">
        <v>815</v>
      </c>
      <c r="P20" s="36"/>
      <c r="Q20" s="36" t="s">
        <v>816</v>
      </c>
    </row>
    <row r="21" spans="1:17" ht="43.2" x14ac:dyDescent="0.25">
      <c r="A21" s="1">
        <v>10900102</v>
      </c>
      <c r="B21" s="36" t="s">
        <v>817</v>
      </c>
      <c r="C21" s="36" t="s">
        <v>705</v>
      </c>
      <c r="D21" s="1">
        <v>109001</v>
      </c>
      <c r="E21" s="36">
        <v>1</v>
      </c>
      <c r="F21" s="36" t="s">
        <v>818</v>
      </c>
      <c r="G21" s="36">
        <v>0</v>
      </c>
      <c r="H21" s="36">
        <v>0</v>
      </c>
      <c r="I21" s="36">
        <v>0</v>
      </c>
      <c r="J21" s="36">
        <v>0</v>
      </c>
      <c r="K21" s="36" t="s">
        <v>819</v>
      </c>
      <c r="L21" s="36">
        <v>0</v>
      </c>
      <c r="M21" s="36" t="s">
        <v>820</v>
      </c>
      <c r="N21" s="36" t="s">
        <v>721</v>
      </c>
      <c r="O21" s="1" t="s">
        <v>821</v>
      </c>
      <c r="P21" s="36"/>
    </row>
    <row r="22" spans="1:17" ht="28.8" x14ac:dyDescent="0.25">
      <c r="A22" s="1">
        <v>11100101</v>
      </c>
      <c r="B22" s="36" t="s">
        <v>94</v>
      </c>
      <c r="C22" s="36" t="s">
        <v>696</v>
      </c>
      <c r="D22" s="1">
        <v>111001</v>
      </c>
      <c r="E22" s="36">
        <v>1</v>
      </c>
      <c r="F22" s="36" t="s">
        <v>822</v>
      </c>
      <c r="G22" s="36" t="s">
        <v>823</v>
      </c>
      <c r="H22" s="36" t="s">
        <v>824</v>
      </c>
      <c r="I22" s="36">
        <v>0</v>
      </c>
      <c r="J22" s="36">
        <v>0</v>
      </c>
      <c r="K22" s="36">
        <v>0</v>
      </c>
      <c r="L22" s="36">
        <v>0</v>
      </c>
      <c r="M22" s="36" t="s">
        <v>825</v>
      </c>
      <c r="N22" s="36" t="s">
        <v>826</v>
      </c>
      <c r="O22" s="1" t="s">
        <v>827</v>
      </c>
      <c r="P22" s="36"/>
      <c r="Q22" s="36" t="s">
        <v>828</v>
      </c>
    </row>
    <row r="23" spans="1:17" ht="28.8" x14ac:dyDescent="0.25">
      <c r="A23" s="1">
        <v>20000101</v>
      </c>
      <c r="B23" s="36" t="s">
        <v>829</v>
      </c>
      <c r="C23" s="36" t="s">
        <v>705</v>
      </c>
      <c r="D23" s="1">
        <v>200001</v>
      </c>
      <c r="E23" s="36">
        <v>1</v>
      </c>
      <c r="F23" s="36" t="s">
        <v>830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 t="s">
        <v>831</v>
      </c>
      <c r="N23" s="36"/>
      <c r="O23" s="1" t="s">
        <v>832</v>
      </c>
      <c r="P23" s="36"/>
    </row>
    <row r="24" spans="1:17" ht="28.8" x14ac:dyDescent="0.25">
      <c r="A24" s="1">
        <v>20000102</v>
      </c>
      <c r="B24" s="36" t="s">
        <v>833</v>
      </c>
      <c r="C24" s="36" t="s">
        <v>705</v>
      </c>
      <c r="D24" s="1">
        <v>200001</v>
      </c>
      <c r="E24" s="36">
        <v>1</v>
      </c>
      <c r="F24" s="36" t="s">
        <v>834</v>
      </c>
      <c r="G24" s="36">
        <v>0</v>
      </c>
      <c r="H24" s="36">
        <v>0</v>
      </c>
      <c r="I24" s="36">
        <v>0</v>
      </c>
      <c r="J24" s="36">
        <v>0</v>
      </c>
      <c r="K24" s="36" t="s">
        <v>835</v>
      </c>
      <c r="L24" s="36">
        <v>0</v>
      </c>
      <c r="M24" s="36" t="s">
        <v>836</v>
      </c>
      <c r="N24" s="36"/>
      <c r="O24" s="1" t="s">
        <v>837</v>
      </c>
      <c r="P24" s="36"/>
      <c r="Q24" s="36"/>
    </row>
    <row r="25" spans="1:17" ht="28.8" x14ac:dyDescent="0.25">
      <c r="A25" s="1">
        <v>10400201</v>
      </c>
      <c r="B25" t="s">
        <v>838</v>
      </c>
      <c r="C25" s="36" t="s">
        <v>696</v>
      </c>
      <c r="D25" s="36">
        <v>104002</v>
      </c>
      <c r="E25" s="36">
        <v>1</v>
      </c>
      <c r="F25" s="36" t="s">
        <v>839</v>
      </c>
      <c r="G25" s="36" t="s">
        <v>840</v>
      </c>
      <c r="H25" s="36" t="s">
        <v>841</v>
      </c>
      <c r="I25" s="36">
        <v>0</v>
      </c>
      <c r="J25" s="36">
        <v>0</v>
      </c>
      <c r="K25" s="36">
        <v>0</v>
      </c>
      <c r="L25" s="36">
        <v>0</v>
      </c>
      <c r="M25" s="36" t="s">
        <v>842</v>
      </c>
      <c r="N25" s="36" t="s">
        <v>843</v>
      </c>
      <c r="O25" s="36" t="s">
        <v>844</v>
      </c>
      <c r="P25" s="36"/>
      <c r="Q25" s="36" t="s">
        <v>845</v>
      </c>
    </row>
    <row r="26" spans="1:17" ht="28.8" x14ac:dyDescent="0.25">
      <c r="A26" s="1">
        <v>10400202</v>
      </c>
      <c r="B26" t="s">
        <v>846</v>
      </c>
      <c r="C26" s="36" t="s">
        <v>705</v>
      </c>
      <c r="D26" s="36">
        <v>104002</v>
      </c>
      <c r="E26" s="36">
        <v>1</v>
      </c>
      <c r="F26" s="36" t="s">
        <v>847</v>
      </c>
      <c r="G26" s="36">
        <v>0</v>
      </c>
      <c r="H26" s="36">
        <v>0</v>
      </c>
      <c r="I26" s="36">
        <v>0</v>
      </c>
      <c r="J26" s="36">
        <v>0</v>
      </c>
      <c r="K26" s="36" t="s">
        <v>848</v>
      </c>
      <c r="L26" s="36">
        <v>0</v>
      </c>
      <c r="M26" s="36" t="s">
        <v>849</v>
      </c>
      <c r="N26" s="36" t="s">
        <v>850</v>
      </c>
      <c r="O26" s="36" t="s">
        <v>851</v>
      </c>
      <c r="P26" s="36"/>
    </row>
    <row r="27" spans="1:17" ht="44.4" customHeight="1" x14ac:dyDescent="0.25">
      <c r="A27" s="1">
        <v>10400203</v>
      </c>
      <c r="B27" s="15" t="s">
        <v>852</v>
      </c>
      <c r="C27" s="36" t="s">
        <v>705</v>
      </c>
      <c r="D27" s="36">
        <v>104002</v>
      </c>
      <c r="E27" s="36">
        <v>1</v>
      </c>
      <c r="F27" s="36" t="s">
        <v>853</v>
      </c>
      <c r="G27" s="36">
        <v>0</v>
      </c>
      <c r="H27" s="36">
        <v>0</v>
      </c>
      <c r="I27" s="36">
        <v>0</v>
      </c>
      <c r="J27" s="36">
        <v>0</v>
      </c>
      <c r="K27" s="36" t="s">
        <v>854</v>
      </c>
      <c r="L27" s="36">
        <v>0</v>
      </c>
      <c r="M27" s="36" t="s">
        <v>855</v>
      </c>
      <c r="N27" s="36"/>
      <c r="O27" s="36" t="s">
        <v>856</v>
      </c>
      <c r="P27" s="36"/>
      <c r="Q27" s="35"/>
    </row>
    <row r="28" spans="1:17" ht="28.8" x14ac:dyDescent="0.25">
      <c r="A28" s="1">
        <v>10100301</v>
      </c>
      <c r="B28" t="s">
        <v>857</v>
      </c>
      <c r="C28" s="36" t="s">
        <v>696</v>
      </c>
      <c r="D28" s="36">
        <v>101003</v>
      </c>
      <c r="E28" s="36">
        <v>1</v>
      </c>
      <c r="F28" s="36" t="s">
        <v>858</v>
      </c>
      <c r="G28" s="36" t="s">
        <v>785</v>
      </c>
      <c r="H28" s="36" t="s">
        <v>859</v>
      </c>
      <c r="I28" s="36">
        <v>0</v>
      </c>
      <c r="J28" s="36">
        <v>0</v>
      </c>
      <c r="K28" s="36">
        <v>0</v>
      </c>
      <c r="L28" s="36">
        <v>0</v>
      </c>
      <c r="M28" s="36" t="s">
        <v>860</v>
      </c>
      <c r="N28" s="36" t="s">
        <v>728</v>
      </c>
      <c r="O28" s="36" t="s">
        <v>861</v>
      </c>
      <c r="P28" s="36"/>
      <c r="Q28" s="45" t="s">
        <v>862</v>
      </c>
    </row>
    <row r="29" spans="1:17" ht="28.8" x14ac:dyDescent="0.25">
      <c r="A29" s="1">
        <v>10100302</v>
      </c>
      <c r="B29" t="s">
        <v>863</v>
      </c>
      <c r="C29" s="36" t="s">
        <v>705</v>
      </c>
      <c r="D29" s="36">
        <v>101003</v>
      </c>
      <c r="E29" s="36">
        <v>1</v>
      </c>
      <c r="F29" s="36" t="s">
        <v>864</v>
      </c>
      <c r="G29" s="36">
        <v>0</v>
      </c>
      <c r="H29" s="36">
        <v>0</v>
      </c>
      <c r="I29" s="36">
        <v>0</v>
      </c>
      <c r="J29" s="36">
        <v>0</v>
      </c>
      <c r="K29" s="36" t="s">
        <v>865</v>
      </c>
      <c r="L29" s="36">
        <v>0</v>
      </c>
      <c r="M29" s="36" t="s">
        <v>866</v>
      </c>
      <c r="N29" s="36" t="s">
        <v>867</v>
      </c>
      <c r="O29" s="36" t="s">
        <v>868</v>
      </c>
      <c r="P29" s="36"/>
      <c r="Q29" s="35"/>
    </row>
    <row r="30" spans="1:17" ht="28.8" x14ac:dyDescent="0.25">
      <c r="A30" s="1">
        <v>10100303</v>
      </c>
      <c r="B30" t="s">
        <v>869</v>
      </c>
      <c r="C30" s="36" t="s">
        <v>705</v>
      </c>
      <c r="D30" s="36">
        <v>101003</v>
      </c>
      <c r="E30" s="36">
        <v>1</v>
      </c>
      <c r="F30" s="36" t="s">
        <v>870</v>
      </c>
      <c r="G30" s="36">
        <v>0</v>
      </c>
      <c r="H30" s="36">
        <v>0</v>
      </c>
      <c r="I30" s="36">
        <v>0</v>
      </c>
      <c r="J30" s="36">
        <v>0</v>
      </c>
      <c r="K30" s="36" t="s">
        <v>871</v>
      </c>
      <c r="L30" s="36">
        <v>0</v>
      </c>
      <c r="M30" s="36" t="s">
        <v>872</v>
      </c>
      <c r="N30" s="36" t="s">
        <v>873</v>
      </c>
      <c r="O30" s="36" t="s">
        <v>874</v>
      </c>
      <c r="P30" s="36"/>
      <c r="Q30" s="35"/>
    </row>
    <row r="31" spans="1:17" ht="28.8" x14ac:dyDescent="0.25">
      <c r="A31" s="1">
        <v>10200401</v>
      </c>
      <c r="B31" t="s">
        <v>875</v>
      </c>
      <c r="C31" s="36" t="s">
        <v>696</v>
      </c>
      <c r="D31" s="36">
        <v>102004</v>
      </c>
      <c r="E31" s="36">
        <v>1</v>
      </c>
      <c r="F31" s="36" t="s">
        <v>876</v>
      </c>
      <c r="G31" s="36" t="s">
        <v>877</v>
      </c>
      <c r="H31" s="36" t="s">
        <v>878</v>
      </c>
      <c r="I31" s="36">
        <v>0</v>
      </c>
      <c r="J31" s="36">
        <v>0</v>
      </c>
      <c r="K31" s="36">
        <v>0</v>
      </c>
      <c r="L31" s="36">
        <v>0</v>
      </c>
      <c r="M31" s="36" t="s">
        <v>879</v>
      </c>
      <c r="N31" s="36" t="s">
        <v>760</v>
      </c>
      <c r="O31" s="36" t="s">
        <v>880</v>
      </c>
      <c r="P31" s="36"/>
      <c r="Q31" s="36" t="s">
        <v>881</v>
      </c>
    </row>
    <row r="32" spans="1:17" ht="28.8" x14ac:dyDescent="0.25">
      <c r="A32" s="1">
        <v>10200402</v>
      </c>
      <c r="B32" t="s">
        <v>882</v>
      </c>
      <c r="C32" s="36" t="s">
        <v>705</v>
      </c>
      <c r="D32" s="36">
        <v>102004</v>
      </c>
      <c r="E32" s="36">
        <v>1</v>
      </c>
      <c r="F32" t="s">
        <v>883</v>
      </c>
      <c r="G32" s="36">
        <v>0</v>
      </c>
      <c r="H32" s="36">
        <v>0</v>
      </c>
      <c r="I32" s="36">
        <v>0</v>
      </c>
      <c r="J32" s="36">
        <v>0</v>
      </c>
      <c r="K32" s="36" t="s">
        <v>884</v>
      </c>
      <c r="L32" s="36">
        <v>0</v>
      </c>
      <c r="M32" s="36" t="s">
        <v>885</v>
      </c>
      <c r="N32" s="36" t="s">
        <v>886</v>
      </c>
      <c r="O32" s="37" t="s">
        <v>887</v>
      </c>
      <c r="Q32" s="35"/>
    </row>
    <row r="33" spans="1:17" ht="28.8" x14ac:dyDescent="0.25">
      <c r="A33" s="1">
        <v>10200403</v>
      </c>
      <c r="B33" t="s">
        <v>888</v>
      </c>
      <c r="C33" s="36" t="s">
        <v>705</v>
      </c>
      <c r="D33" s="36">
        <v>102004</v>
      </c>
      <c r="E33" s="36">
        <v>1</v>
      </c>
      <c r="F33" t="s">
        <v>889</v>
      </c>
      <c r="G33" s="36">
        <v>0</v>
      </c>
      <c r="H33" s="36">
        <v>0</v>
      </c>
      <c r="I33" s="36">
        <v>0</v>
      </c>
      <c r="J33" s="36">
        <v>0</v>
      </c>
      <c r="K33" s="36" t="s">
        <v>890</v>
      </c>
      <c r="L33" s="36">
        <v>0</v>
      </c>
      <c r="M33" s="36" t="s">
        <v>891</v>
      </c>
      <c r="N33" s="36"/>
      <c r="O33" s="37" t="s">
        <v>892</v>
      </c>
      <c r="Q33" s="35"/>
    </row>
    <row r="34" spans="1:17" ht="28.8" x14ac:dyDescent="0.25">
      <c r="A34" s="1">
        <v>10300301</v>
      </c>
      <c r="B34" t="s">
        <v>176</v>
      </c>
      <c r="C34" s="36" t="s">
        <v>696</v>
      </c>
      <c r="D34" s="36">
        <v>103003</v>
      </c>
      <c r="E34" s="36">
        <v>1</v>
      </c>
      <c r="F34" s="37" t="s">
        <v>893</v>
      </c>
      <c r="G34" s="36" t="s">
        <v>757</v>
      </c>
      <c r="H34" s="36" t="s">
        <v>894</v>
      </c>
      <c r="I34" s="36">
        <v>0</v>
      </c>
      <c r="J34" s="36">
        <v>0</v>
      </c>
      <c r="K34">
        <v>0</v>
      </c>
      <c r="L34" s="36">
        <v>0</v>
      </c>
      <c r="M34" s="36" t="s">
        <v>895</v>
      </c>
      <c r="N34" s="36" t="s">
        <v>843</v>
      </c>
      <c r="O34" s="37" t="s">
        <v>896</v>
      </c>
      <c r="Q34" s="36" t="s">
        <v>897</v>
      </c>
    </row>
    <row r="35" spans="1:17" ht="28.8" x14ac:dyDescent="0.25">
      <c r="A35" s="1">
        <v>10300302</v>
      </c>
      <c r="B35" t="s">
        <v>898</v>
      </c>
      <c r="C35" s="36" t="s">
        <v>705</v>
      </c>
      <c r="D35" s="36">
        <v>103003</v>
      </c>
      <c r="E35" s="36">
        <v>1</v>
      </c>
      <c r="F35" t="s">
        <v>899</v>
      </c>
      <c r="G35" s="36">
        <v>0</v>
      </c>
      <c r="H35" s="36">
        <v>0</v>
      </c>
      <c r="I35" s="36">
        <v>0</v>
      </c>
      <c r="J35" s="36">
        <v>0</v>
      </c>
      <c r="K35" s="36" t="s">
        <v>900</v>
      </c>
      <c r="L35" s="36">
        <v>0</v>
      </c>
      <c r="M35" s="36" t="s">
        <v>901</v>
      </c>
      <c r="N35" s="36"/>
      <c r="O35" s="37" t="s">
        <v>902</v>
      </c>
      <c r="Q35" s="35"/>
    </row>
    <row r="36" spans="1:17" ht="28.8" x14ac:dyDescent="0.25">
      <c r="A36" s="1">
        <v>10300303</v>
      </c>
      <c r="B36" t="s">
        <v>903</v>
      </c>
      <c r="C36" s="36" t="s">
        <v>705</v>
      </c>
      <c r="D36" s="36">
        <v>103003</v>
      </c>
      <c r="E36" s="36">
        <v>1</v>
      </c>
      <c r="F36" t="s">
        <v>904</v>
      </c>
      <c r="G36" s="36">
        <v>0</v>
      </c>
      <c r="H36" s="36">
        <v>0</v>
      </c>
      <c r="I36" s="36">
        <v>0</v>
      </c>
      <c r="J36" s="36">
        <v>0</v>
      </c>
      <c r="K36" s="36" t="s">
        <v>905</v>
      </c>
      <c r="L36" s="36">
        <v>0</v>
      </c>
      <c r="M36" s="36" t="s">
        <v>906</v>
      </c>
      <c r="N36" s="36"/>
      <c r="O36" s="37" t="s">
        <v>907</v>
      </c>
      <c r="Q36" s="35"/>
    </row>
    <row r="37" spans="1:17" ht="40.950000000000003" customHeight="1" x14ac:dyDescent="0.25">
      <c r="A37" s="1">
        <v>10500101</v>
      </c>
      <c r="B37" t="s">
        <v>908</v>
      </c>
      <c r="C37" s="36" t="s">
        <v>696</v>
      </c>
      <c r="D37" s="36">
        <v>105001</v>
      </c>
      <c r="E37" s="36">
        <v>1</v>
      </c>
      <c r="F37" s="37" t="s">
        <v>909</v>
      </c>
      <c r="G37" s="36" t="s">
        <v>910</v>
      </c>
      <c r="H37" s="36" t="s">
        <v>911</v>
      </c>
      <c r="I37" s="36">
        <v>0</v>
      </c>
      <c r="J37" s="36">
        <v>0</v>
      </c>
      <c r="K37">
        <v>0</v>
      </c>
      <c r="L37" s="36">
        <v>0</v>
      </c>
      <c r="M37" s="36" t="s">
        <v>912</v>
      </c>
      <c r="N37" s="36" t="s">
        <v>774</v>
      </c>
      <c r="O37" s="37" t="s">
        <v>913</v>
      </c>
      <c r="Q37" s="36" t="s">
        <v>914</v>
      </c>
    </row>
    <row r="38" spans="1:17" ht="28.8" x14ac:dyDescent="0.25">
      <c r="A38" s="1">
        <v>10500102</v>
      </c>
      <c r="B38" t="s">
        <v>915</v>
      </c>
      <c r="C38" s="36" t="s">
        <v>705</v>
      </c>
      <c r="D38" s="36">
        <v>105001</v>
      </c>
      <c r="E38" s="36">
        <v>1</v>
      </c>
      <c r="F38" t="s">
        <v>916</v>
      </c>
      <c r="G38" s="36">
        <v>0</v>
      </c>
      <c r="H38" s="36">
        <v>0</v>
      </c>
      <c r="I38" s="36">
        <v>0</v>
      </c>
      <c r="J38" s="36">
        <v>0</v>
      </c>
      <c r="K38" s="36" t="s">
        <v>917</v>
      </c>
      <c r="L38" s="36">
        <v>0</v>
      </c>
      <c r="M38" s="36" t="s">
        <v>918</v>
      </c>
      <c r="N38" s="36"/>
      <c r="O38" s="37" t="s">
        <v>919</v>
      </c>
      <c r="Q38" s="35"/>
    </row>
    <row r="39" spans="1:17" ht="28.8" x14ac:dyDescent="0.25">
      <c r="A39" s="1">
        <v>10500103</v>
      </c>
      <c r="B39" t="s">
        <v>920</v>
      </c>
      <c r="C39" s="36" t="s">
        <v>705</v>
      </c>
      <c r="D39" s="36">
        <v>105001</v>
      </c>
      <c r="E39" s="36">
        <v>1</v>
      </c>
      <c r="F39" t="s">
        <v>921</v>
      </c>
      <c r="G39" s="36">
        <v>0</v>
      </c>
      <c r="H39" s="36">
        <v>0</v>
      </c>
      <c r="I39" s="36">
        <v>0</v>
      </c>
      <c r="J39" s="36">
        <v>0</v>
      </c>
      <c r="K39" s="36" t="s">
        <v>922</v>
      </c>
      <c r="L39" s="36">
        <v>0</v>
      </c>
      <c r="M39" s="36" t="s">
        <v>923</v>
      </c>
      <c r="N39" s="36" t="s">
        <v>826</v>
      </c>
      <c r="O39" s="37" t="s">
        <v>924</v>
      </c>
      <c r="Q39" s="35"/>
    </row>
    <row r="40" spans="1:17" ht="28.8" x14ac:dyDescent="0.25">
      <c r="A40" s="1">
        <v>10600601</v>
      </c>
      <c r="B40" t="s">
        <v>925</v>
      </c>
      <c r="C40" s="36" t="s">
        <v>696</v>
      </c>
      <c r="D40" s="36">
        <v>106006</v>
      </c>
      <c r="E40" s="36">
        <v>1</v>
      </c>
      <c r="F40" s="37" t="s">
        <v>926</v>
      </c>
      <c r="G40" s="36" t="s">
        <v>757</v>
      </c>
      <c r="H40" s="36" t="s">
        <v>894</v>
      </c>
      <c r="I40" s="36">
        <v>0</v>
      </c>
      <c r="J40" s="36">
        <v>0</v>
      </c>
      <c r="K40">
        <v>0</v>
      </c>
      <c r="L40" s="36">
        <v>0</v>
      </c>
      <c r="M40" s="36" t="s">
        <v>927</v>
      </c>
      <c r="N40" s="36" t="s">
        <v>928</v>
      </c>
      <c r="O40" s="37" t="s">
        <v>929</v>
      </c>
    </row>
    <row r="41" spans="1:17" s="35" customFormat="1" ht="28.8" x14ac:dyDescent="0.25">
      <c r="A41" s="38">
        <v>10600602</v>
      </c>
      <c r="B41" s="35" t="s">
        <v>930</v>
      </c>
      <c r="C41" s="39" t="s">
        <v>705</v>
      </c>
      <c r="D41" s="39">
        <v>106006</v>
      </c>
      <c r="E41" s="36">
        <v>1</v>
      </c>
      <c r="G41" s="39">
        <v>0</v>
      </c>
      <c r="H41" s="39">
        <v>0</v>
      </c>
      <c r="I41" s="39">
        <v>0</v>
      </c>
      <c r="J41" s="39">
        <v>0</v>
      </c>
      <c r="K41" s="39" t="s">
        <v>931</v>
      </c>
      <c r="L41" s="39">
        <v>0</v>
      </c>
      <c r="M41" s="39" t="s">
        <v>932</v>
      </c>
      <c r="N41" s="39"/>
      <c r="O41" s="41" t="s">
        <v>933</v>
      </c>
    </row>
    <row r="42" spans="1:17" ht="28.8" x14ac:dyDescent="0.25">
      <c r="A42" s="1">
        <v>10600603</v>
      </c>
      <c r="B42" t="s">
        <v>934</v>
      </c>
      <c r="C42" s="36" t="s">
        <v>705</v>
      </c>
      <c r="D42" s="36">
        <v>106006</v>
      </c>
      <c r="E42" s="36">
        <v>1</v>
      </c>
      <c r="F42" t="s">
        <v>935</v>
      </c>
      <c r="G42" s="36">
        <v>0</v>
      </c>
      <c r="H42" s="36">
        <v>0</v>
      </c>
      <c r="I42" s="36">
        <v>0</v>
      </c>
      <c r="J42" s="36">
        <v>0</v>
      </c>
      <c r="K42" s="36" t="s">
        <v>936</v>
      </c>
      <c r="L42" s="36">
        <v>0</v>
      </c>
      <c r="M42" s="36" t="s">
        <v>937</v>
      </c>
      <c r="N42" s="36"/>
      <c r="O42" s="37" t="s">
        <v>938</v>
      </c>
      <c r="Q42" s="35"/>
    </row>
    <row r="43" spans="1:17" x14ac:dyDescent="0.25">
      <c r="A43" s="1">
        <v>30000101</v>
      </c>
      <c r="B43" t="s">
        <v>939</v>
      </c>
      <c r="C43" s="36" t="s">
        <v>705</v>
      </c>
      <c r="D43" s="36">
        <v>300001</v>
      </c>
      <c r="E43" s="36">
        <v>1</v>
      </c>
      <c r="F43" t="s">
        <v>940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 t="s">
        <v>941</v>
      </c>
      <c r="N43" s="36"/>
      <c r="O43" s="37" t="s">
        <v>942</v>
      </c>
      <c r="Q43" s="35"/>
    </row>
    <row r="44" spans="1:17" x14ac:dyDescent="0.25">
      <c r="A44" s="1">
        <v>30000102</v>
      </c>
      <c r="B44" t="s">
        <v>943</v>
      </c>
      <c r="C44" s="36" t="s">
        <v>705</v>
      </c>
      <c r="D44" s="36">
        <v>300001</v>
      </c>
      <c r="E44" s="36">
        <v>1</v>
      </c>
      <c r="F44" t="s">
        <v>944</v>
      </c>
      <c r="G44" s="36">
        <v>0</v>
      </c>
      <c r="H44" s="36">
        <v>0</v>
      </c>
      <c r="I44" s="36">
        <v>0</v>
      </c>
      <c r="J44" s="36">
        <v>0</v>
      </c>
      <c r="K44" s="36" t="s">
        <v>945</v>
      </c>
      <c r="L44" s="36">
        <v>0</v>
      </c>
      <c r="M44" s="36" t="s">
        <v>946</v>
      </c>
      <c r="N44" s="36"/>
      <c r="O44" s="37" t="s">
        <v>947</v>
      </c>
      <c r="Q44" s="35"/>
    </row>
    <row r="45" spans="1:17" ht="28.8" x14ac:dyDescent="0.25">
      <c r="A45" s="1">
        <v>10100401</v>
      </c>
      <c r="B45" t="s">
        <v>948</v>
      </c>
      <c r="C45" s="36" t="s">
        <v>696</v>
      </c>
      <c r="D45" s="36">
        <v>101004</v>
      </c>
      <c r="E45" s="36">
        <v>1</v>
      </c>
      <c r="F45" s="37" t="s">
        <v>949</v>
      </c>
      <c r="G45" s="36" t="s">
        <v>950</v>
      </c>
      <c r="H45" s="36" t="s">
        <v>878</v>
      </c>
      <c r="I45" s="36">
        <v>0</v>
      </c>
      <c r="J45" s="36">
        <v>0</v>
      </c>
      <c r="K45">
        <v>0</v>
      </c>
      <c r="L45" s="36">
        <v>0</v>
      </c>
      <c r="M45" s="36" t="s">
        <v>951</v>
      </c>
      <c r="N45" s="36" t="s">
        <v>952</v>
      </c>
      <c r="O45" s="37" t="s">
        <v>953</v>
      </c>
      <c r="Q45" s="45" t="s">
        <v>954</v>
      </c>
    </row>
    <row r="46" spans="1:17" ht="28.8" x14ac:dyDescent="0.25">
      <c r="A46" s="1">
        <v>10100402</v>
      </c>
      <c r="B46" t="s">
        <v>955</v>
      </c>
      <c r="C46" s="36" t="s">
        <v>705</v>
      </c>
      <c r="D46" s="36">
        <v>101004</v>
      </c>
      <c r="E46" s="36">
        <v>1</v>
      </c>
      <c r="F46" t="s">
        <v>956</v>
      </c>
      <c r="G46" s="36">
        <v>0</v>
      </c>
      <c r="H46" s="36">
        <v>0</v>
      </c>
      <c r="I46" s="36">
        <v>0</v>
      </c>
      <c r="J46" s="36">
        <v>0</v>
      </c>
      <c r="K46" s="36" t="s">
        <v>957</v>
      </c>
      <c r="L46" s="36">
        <v>0</v>
      </c>
      <c r="M46" s="36" t="s">
        <v>958</v>
      </c>
      <c r="N46" s="36" t="s">
        <v>959</v>
      </c>
      <c r="O46" s="37" t="s">
        <v>960</v>
      </c>
      <c r="Q46" s="35"/>
    </row>
    <row r="47" spans="1:17" ht="28.8" x14ac:dyDescent="0.25">
      <c r="A47" s="1">
        <v>10100403</v>
      </c>
      <c r="B47" t="s">
        <v>961</v>
      </c>
      <c r="C47" s="36" t="s">
        <v>705</v>
      </c>
      <c r="D47" s="36">
        <v>101004</v>
      </c>
      <c r="E47" s="36">
        <v>1</v>
      </c>
      <c r="F47" t="s">
        <v>962</v>
      </c>
      <c r="G47" s="36">
        <v>0</v>
      </c>
      <c r="H47" s="36">
        <v>0</v>
      </c>
      <c r="I47" s="36">
        <v>0</v>
      </c>
      <c r="J47" s="36">
        <v>0</v>
      </c>
      <c r="K47" s="36" t="s">
        <v>963</v>
      </c>
      <c r="L47" s="36">
        <v>0</v>
      </c>
      <c r="M47" s="36" t="s">
        <v>964</v>
      </c>
      <c r="N47" s="36"/>
      <c r="O47" s="37" t="s">
        <v>965</v>
      </c>
      <c r="Q47" s="35"/>
    </row>
    <row r="48" spans="1:17" x14ac:dyDescent="0.25">
      <c r="A48" s="1">
        <v>30000201</v>
      </c>
      <c r="B48" t="s">
        <v>966</v>
      </c>
      <c r="C48" s="36" t="s">
        <v>705</v>
      </c>
      <c r="D48" s="36">
        <v>300002</v>
      </c>
      <c r="E48" s="36">
        <v>1</v>
      </c>
      <c r="F48" t="s">
        <v>967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 t="s">
        <v>968</v>
      </c>
      <c r="N48" s="36"/>
      <c r="O48" s="37" t="s">
        <v>969</v>
      </c>
      <c r="Q48" s="35"/>
    </row>
    <row r="49" spans="1:17" ht="28.8" x14ac:dyDescent="0.25">
      <c r="A49" s="1">
        <v>30000202</v>
      </c>
      <c r="B49" t="s">
        <v>970</v>
      </c>
      <c r="C49" s="36" t="s">
        <v>705</v>
      </c>
      <c r="D49" s="36">
        <v>300002</v>
      </c>
      <c r="E49" s="36">
        <v>1</v>
      </c>
      <c r="F49" t="s">
        <v>971</v>
      </c>
      <c r="G49" s="36">
        <v>0</v>
      </c>
      <c r="H49" s="36">
        <v>0</v>
      </c>
      <c r="I49" s="36">
        <v>0</v>
      </c>
      <c r="J49" s="36">
        <v>0</v>
      </c>
      <c r="K49" s="36" t="s">
        <v>972</v>
      </c>
      <c r="L49" s="36">
        <v>0</v>
      </c>
      <c r="M49" s="36" t="s">
        <v>973</v>
      </c>
      <c r="N49" s="36"/>
      <c r="O49" s="37" t="s">
        <v>974</v>
      </c>
      <c r="Q49" s="35"/>
    </row>
    <row r="50" spans="1:17" ht="28.8" x14ac:dyDescent="0.25">
      <c r="A50" s="1">
        <v>30000203</v>
      </c>
      <c r="B50" t="s">
        <v>975</v>
      </c>
      <c r="C50" s="36" t="s">
        <v>705</v>
      </c>
      <c r="D50" s="36">
        <v>300002</v>
      </c>
      <c r="E50" s="36">
        <v>1</v>
      </c>
      <c r="F50" t="s">
        <v>976</v>
      </c>
      <c r="G50" s="36">
        <v>0</v>
      </c>
      <c r="H50" s="36">
        <v>0</v>
      </c>
      <c r="I50" s="36">
        <v>0</v>
      </c>
      <c r="J50" s="36">
        <v>0</v>
      </c>
      <c r="K50" s="36" t="s">
        <v>977</v>
      </c>
      <c r="L50" s="36">
        <v>0</v>
      </c>
      <c r="M50" s="36" t="s">
        <v>978</v>
      </c>
      <c r="N50" s="36"/>
      <c r="O50" s="37" t="s">
        <v>979</v>
      </c>
      <c r="Q50" s="35"/>
    </row>
    <row r="51" spans="1:17" ht="28.8" x14ac:dyDescent="0.25">
      <c r="A51" s="1">
        <v>20100301</v>
      </c>
      <c r="B51" t="s">
        <v>980</v>
      </c>
      <c r="C51" s="36" t="s">
        <v>705</v>
      </c>
      <c r="D51" s="36">
        <v>201003</v>
      </c>
      <c r="E51" s="36">
        <v>1</v>
      </c>
      <c r="F51" t="s">
        <v>981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 t="s">
        <v>982</v>
      </c>
      <c r="N51" s="36"/>
      <c r="O51" s="37" t="s">
        <v>983</v>
      </c>
      <c r="Q51" s="35"/>
    </row>
    <row r="52" spans="1:17" ht="28.8" x14ac:dyDescent="0.25">
      <c r="A52" s="1">
        <v>20100302</v>
      </c>
      <c r="B52" t="s">
        <v>984</v>
      </c>
      <c r="C52" s="36" t="s">
        <v>705</v>
      </c>
      <c r="D52" s="36">
        <v>201003</v>
      </c>
      <c r="E52" s="36">
        <v>1</v>
      </c>
      <c r="F52" t="s">
        <v>985</v>
      </c>
      <c r="G52" s="36">
        <v>0</v>
      </c>
      <c r="H52" s="36">
        <v>0</v>
      </c>
      <c r="I52" s="36">
        <v>0</v>
      </c>
      <c r="J52" s="36">
        <v>0</v>
      </c>
      <c r="K52" s="36" t="s">
        <v>986</v>
      </c>
      <c r="L52" s="36">
        <v>0</v>
      </c>
      <c r="M52" s="36" t="s">
        <v>987</v>
      </c>
      <c r="N52" s="36"/>
      <c r="O52" s="37" t="s">
        <v>988</v>
      </c>
      <c r="Q52" s="35"/>
    </row>
    <row r="53" spans="1:17" ht="28.8" x14ac:dyDescent="0.25">
      <c r="A53" s="1">
        <v>20100303</v>
      </c>
      <c r="B53" t="s">
        <v>989</v>
      </c>
      <c r="C53" s="36" t="s">
        <v>705</v>
      </c>
      <c r="D53" s="36">
        <v>201003</v>
      </c>
      <c r="E53" s="36">
        <v>1</v>
      </c>
      <c r="F53" t="s">
        <v>990</v>
      </c>
      <c r="G53" s="36">
        <v>0</v>
      </c>
      <c r="H53" s="36">
        <v>0</v>
      </c>
      <c r="I53" s="36">
        <v>0</v>
      </c>
      <c r="J53" s="36">
        <v>0</v>
      </c>
      <c r="K53" s="36" t="s">
        <v>991</v>
      </c>
      <c r="L53" s="36">
        <v>0</v>
      </c>
      <c r="M53" s="36" t="s">
        <v>992</v>
      </c>
      <c r="N53" s="36"/>
      <c r="O53" s="37" t="s">
        <v>993</v>
      </c>
      <c r="Q53" s="35"/>
    </row>
    <row r="54" spans="1:17" ht="28.8" x14ac:dyDescent="0.25">
      <c r="A54" s="1">
        <v>20100401</v>
      </c>
      <c r="B54" t="s">
        <v>994</v>
      </c>
      <c r="C54" s="36" t="s">
        <v>705</v>
      </c>
      <c r="D54" s="36">
        <v>201004</v>
      </c>
      <c r="E54" s="36">
        <v>1</v>
      </c>
      <c r="F54" t="s">
        <v>995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0</v>
      </c>
      <c r="M54" s="36" t="s">
        <v>996</v>
      </c>
      <c r="N54" s="36"/>
      <c r="O54" s="37" t="s">
        <v>997</v>
      </c>
      <c r="Q54" s="35"/>
    </row>
    <row r="55" spans="1:17" ht="28.8" x14ac:dyDescent="0.25">
      <c r="A55" s="1">
        <v>20100402</v>
      </c>
      <c r="B55" t="s">
        <v>998</v>
      </c>
      <c r="C55" s="36" t="s">
        <v>705</v>
      </c>
      <c r="D55" s="36">
        <v>201004</v>
      </c>
      <c r="E55" s="36">
        <v>1</v>
      </c>
      <c r="F55" t="s">
        <v>999</v>
      </c>
      <c r="G55" s="36">
        <v>0</v>
      </c>
      <c r="H55" s="36">
        <v>0</v>
      </c>
      <c r="I55" s="36">
        <v>0</v>
      </c>
      <c r="J55" s="36">
        <v>0</v>
      </c>
      <c r="K55" s="36" t="s">
        <v>1000</v>
      </c>
      <c r="L55" s="36">
        <v>0</v>
      </c>
      <c r="M55" s="36" t="s">
        <v>1001</v>
      </c>
      <c r="N55" s="36"/>
      <c r="O55" s="37" t="s">
        <v>1002</v>
      </c>
      <c r="Q55" s="35"/>
    </row>
    <row r="56" spans="1:17" ht="28.8" x14ac:dyDescent="0.25">
      <c r="A56" s="1">
        <v>20100403</v>
      </c>
      <c r="B56" t="s">
        <v>1003</v>
      </c>
      <c r="C56" s="36" t="s">
        <v>705</v>
      </c>
      <c r="D56" s="36">
        <v>201004</v>
      </c>
      <c r="E56" s="36">
        <v>1</v>
      </c>
      <c r="F56" t="s">
        <v>1004</v>
      </c>
      <c r="G56" s="36">
        <v>0</v>
      </c>
      <c r="H56" s="36">
        <v>0</v>
      </c>
      <c r="I56" s="36">
        <v>0</v>
      </c>
      <c r="J56" s="36">
        <v>0</v>
      </c>
      <c r="K56" s="36" t="s">
        <v>1005</v>
      </c>
      <c r="L56" s="36">
        <v>0</v>
      </c>
      <c r="M56" s="36" t="s">
        <v>1006</v>
      </c>
      <c r="N56" s="36" t="s">
        <v>1007</v>
      </c>
      <c r="O56" s="37" t="s">
        <v>1008</v>
      </c>
      <c r="Q56" s="35"/>
    </row>
    <row r="57" spans="1:17" ht="28.8" x14ac:dyDescent="0.25">
      <c r="A57" s="1">
        <v>11100201</v>
      </c>
      <c r="B57" t="s">
        <v>182</v>
      </c>
      <c r="C57" s="36" t="s">
        <v>696</v>
      </c>
      <c r="D57" s="36">
        <v>111002</v>
      </c>
      <c r="E57" s="36">
        <v>1</v>
      </c>
      <c r="F57" s="1" t="s">
        <v>1009</v>
      </c>
      <c r="G57" s="36">
        <v>0</v>
      </c>
      <c r="H57" s="36" t="s">
        <v>824</v>
      </c>
      <c r="I57" s="36">
        <v>0</v>
      </c>
      <c r="J57" s="36">
        <v>0</v>
      </c>
      <c r="K57" s="36">
        <v>0</v>
      </c>
      <c r="L57" s="36">
        <v>0</v>
      </c>
      <c r="M57" s="36" t="s">
        <v>1010</v>
      </c>
      <c r="N57" s="36" t="s">
        <v>952</v>
      </c>
      <c r="O57" s="37" t="s">
        <v>1011</v>
      </c>
      <c r="Q57" s="38" t="s">
        <v>1012</v>
      </c>
    </row>
    <row r="58" spans="1:17" ht="28.8" x14ac:dyDescent="0.25">
      <c r="A58" s="1">
        <v>10400301</v>
      </c>
      <c r="B58" t="s">
        <v>1013</v>
      </c>
      <c r="C58" s="36" t="s">
        <v>696</v>
      </c>
      <c r="D58" s="36">
        <v>104003</v>
      </c>
      <c r="E58" s="36">
        <v>1</v>
      </c>
      <c r="F58" s="1" t="s">
        <v>1014</v>
      </c>
      <c r="G58" s="36" t="s">
        <v>1015</v>
      </c>
      <c r="H58" s="36" t="s">
        <v>841</v>
      </c>
      <c r="I58" s="36">
        <v>0</v>
      </c>
      <c r="J58" s="36">
        <v>0</v>
      </c>
      <c r="K58">
        <v>0</v>
      </c>
      <c r="L58" s="36">
        <v>0</v>
      </c>
      <c r="M58" s="36" t="s">
        <v>1016</v>
      </c>
      <c r="N58" s="36" t="s">
        <v>1017</v>
      </c>
      <c r="O58" s="37" t="s">
        <v>1018</v>
      </c>
      <c r="Q58" s="36" t="s">
        <v>1019</v>
      </c>
    </row>
    <row r="59" spans="1:17" s="35" customFormat="1" ht="43.2" x14ac:dyDescent="0.25">
      <c r="A59" s="38">
        <v>10400302</v>
      </c>
      <c r="B59" s="35" t="s">
        <v>1020</v>
      </c>
      <c r="C59" s="39" t="s">
        <v>705</v>
      </c>
      <c r="D59" s="39">
        <v>104003</v>
      </c>
      <c r="E59" s="36">
        <v>1</v>
      </c>
      <c r="F59" s="40" t="s">
        <v>1021</v>
      </c>
      <c r="G59" s="39">
        <v>0</v>
      </c>
      <c r="H59" s="39">
        <v>0</v>
      </c>
      <c r="I59" s="39">
        <v>0</v>
      </c>
      <c r="J59" s="39">
        <v>0</v>
      </c>
      <c r="K59" s="42" t="s">
        <v>1022</v>
      </c>
      <c r="L59" s="39">
        <v>0</v>
      </c>
      <c r="M59" s="39" t="s">
        <v>1023</v>
      </c>
      <c r="N59" s="39" t="s">
        <v>1024</v>
      </c>
      <c r="O59" s="41" t="s">
        <v>1025</v>
      </c>
      <c r="Q59" s="39" t="s">
        <v>1026</v>
      </c>
    </row>
    <row r="60" spans="1:17" ht="28.8" x14ac:dyDescent="0.25">
      <c r="A60" s="1">
        <v>10400303</v>
      </c>
      <c r="B60" t="s">
        <v>1027</v>
      </c>
      <c r="C60" s="36" t="s">
        <v>705</v>
      </c>
      <c r="D60" s="36">
        <v>104003</v>
      </c>
      <c r="E60" s="36">
        <v>1</v>
      </c>
      <c r="F60" s="11" t="s">
        <v>1028</v>
      </c>
      <c r="G60" s="36">
        <v>0</v>
      </c>
      <c r="H60" s="36">
        <v>0</v>
      </c>
      <c r="I60" s="36">
        <v>0</v>
      </c>
      <c r="J60" s="36">
        <v>0</v>
      </c>
      <c r="K60" s="43" t="s">
        <v>1029</v>
      </c>
      <c r="L60" s="36">
        <v>0</v>
      </c>
      <c r="M60" s="36" t="s">
        <v>1030</v>
      </c>
      <c r="N60" s="36"/>
      <c r="O60" s="37" t="s">
        <v>1031</v>
      </c>
      <c r="Q60" s="35"/>
    </row>
    <row r="61" spans="1:17" ht="28.8" x14ac:dyDescent="0.25">
      <c r="A61" s="1">
        <v>10400304</v>
      </c>
      <c r="B61" t="s">
        <v>1032</v>
      </c>
      <c r="C61" s="36" t="s">
        <v>705</v>
      </c>
      <c r="D61" s="36">
        <v>104003</v>
      </c>
      <c r="E61" s="36">
        <v>1</v>
      </c>
      <c r="F61" t="s">
        <v>1033</v>
      </c>
      <c r="G61" s="36">
        <v>0</v>
      </c>
      <c r="H61" s="36">
        <v>0</v>
      </c>
      <c r="I61" s="36">
        <v>0</v>
      </c>
      <c r="J61" s="36">
        <v>0</v>
      </c>
      <c r="K61" s="43" t="s">
        <v>1034</v>
      </c>
      <c r="L61" s="36">
        <v>0</v>
      </c>
      <c r="M61" s="36" t="s">
        <v>1035</v>
      </c>
      <c r="N61" s="36"/>
      <c r="O61" s="37" t="s">
        <v>1036</v>
      </c>
      <c r="Q61" s="35"/>
    </row>
    <row r="62" spans="1:17" ht="28.8" x14ac:dyDescent="0.25">
      <c r="A62" s="1">
        <v>10800101</v>
      </c>
      <c r="B62" t="s">
        <v>1037</v>
      </c>
      <c r="C62" s="36" t="s">
        <v>696</v>
      </c>
      <c r="D62" s="36">
        <v>108001</v>
      </c>
      <c r="E62" s="36">
        <v>1</v>
      </c>
      <c r="F62" s="1" t="s">
        <v>1038</v>
      </c>
      <c r="G62" s="36" t="s">
        <v>877</v>
      </c>
      <c r="H62" s="36" t="s">
        <v>699</v>
      </c>
      <c r="I62" s="36">
        <v>0</v>
      </c>
      <c r="J62" s="36">
        <v>0</v>
      </c>
      <c r="K62" s="43">
        <v>0</v>
      </c>
      <c r="L62" s="36">
        <v>0</v>
      </c>
      <c r="M62" s="36" t="s">
        <v>1039</v>
      </c>
      <c r="N62" s="36" t="s">
        <v>1040</v>
      </c>
      <c r="O62" s="37" t="s">
        <v>1041</v>
      </c>
      <c r="Q62" s="36" t="s">
        <v>1042</v>
      </c>
    </row>
    <row r="63" spans="1:17" ht="43.2" x14ac:dyDescent="0.25">
      <c r="A63" s="1">
        <v>10800102</v>
      </c>
      <c r="B63" t="s">
        <v>1043</v>
      </c>
      <c r="C63" s="36" t="s">
        <v>705</v>
      </c>
      <c r="D63" s="36">
        <v>108001</v>
      </c>
      <c r="E63" s="36">
        <v>1</v>
      </c>
      <c r="F63" t="s">
        <v>1044</v>
      </c>
      <c r="G63" s="36">
        <v>0</v>
      </c>
      <c r="H63" s="36">
        <v>0</v>
      </c>
      <c r="I63" s="36">
        <v>0</v>
      </c>
      <c r="J63" s="36">
        <v>0</v>
      </c>
      <c r="K63" s="43" t="s">
        <v>1045</v>
      </c>
      <c r="L63" s="36">
        <v>0</v>
      </c>
      <c r="M63" s="36" t="s">
        <v>1046</v>
      </c>
      <c r="N63" s="36" t="s">
        <v>1047</v>
      </c>
      <c r="O63" s="37" t="s">
        <v>1048</v>
      </c>
      <c r="Q63" s="36" t="s">
        <v>1049</v>
      </c>
    </row>
    <row r="64" spans="1:17" ht="28.8" x14ac:dyDescent="0.25">
      <c r="A64" s="1">
        <v>10800103</v>
      </c>
      <c r="B64" t="s">
        <v>1050</v>
      </c>
      <c r="C64" s="36" t="s">
        <v>705</v>
      </c>
      <c r="D64" s="36">
        <v>108001</v>
      </c>
      <c r="E64" s="36">
        <v>1</v>
      </c>
      <c r="F64" t="s">
        <v>1051</v>
      </c>
      <c r="G64" s="36">
        <v>0</v>
      </c>
      <c r="H64" s="36">
        <v>0</v>
      </c>
      <c r="I64" s="36">
        <v>0</v>
      </c>
      <c r="J64" s="36">
        <v>0</v>
      </c>
      <c r="K64" s="43" t="s">
        <v>1052</v>
      </c>
      <c r="L64" s="36">
        <v>0</v>
      </c>
      <c r="M64" s="36" t="s">
        <v>1053</v>
      </c>
      <c r="N64" s="36"/>
      <c r="O64" s="37" t="s">
        <v>1054</v>
      </c>
      <c r="Q64" s="35"/>
    </row>
    <row r="65" spans="1:17" ht="43.2" x14ac:dyDescent="0.25">
      <c r="A65" s="23">
        <v>10100501</v>
      </c>
      <c r="B65" t="s">
        <v>1055</v>
      </c>
      <c r="C65" s="36" t="s">
        <v>696</v>
      </c>
      <c r="D65" s="11">
        <v>101005</v>
      </c>
      <c r="E65" s="36">
        <v>1</v>
      </c>
      <c r="F65" s="1" t="s">
        <v>1056</v>
      </c>
      <c r="G65" s="36" t="s">
        <v>1057</v>
      </c>
      <c r="H65" s="36" t="s">
        <v>1058</v>
      </c>
      <c r="I65" s="36">
        <v>0</v>
      </c>
      <c r="J65" s="36">
        <v>0</v>
      </c>
      <c r="K65">
        <v>0</v>
      </c>
      <c r="L65" s="36">
        <v>0</v>
      </c>
      <c r="M65" s="36" t="s">
        <v>1059</v>
      </c>
      <c r="N65" s="36" t="s">
        <v>774</v>
      </c>
      <c r="O65" s="23" t="s">
        <v>1060</v>
      </c>
      <c r="Q65" s="36" t="s">
        <v>1061</v>
      </c>
    </row>
    <row r="66" spans="1:17" ht="43.2" x14ac:dyDescent="0.25">
      <c r="A66" s="23">
        <v>10100502</v>
      </c>
      <c r="B66" t="s">
        <v>1062</v>
      </c>
      <c r="C66" s="36" t="s">
        <v>705</v>
      </c>
      <c r="D66" s="11">
        <v>101005</v>
      </c>
      <c r="E66" s="36">
        <v>1</v>
      </c>
      <c r="F66" s="36" t="s">
        <v>1063</v>
      </c>
      <c r="G66" s="36">
        <v>0</v>
      </c>
      <c r="H66" s="36">
        <v>0</v>
      </c>
      <c r="I66" s="36">
        <v>0</v>
      </c>
      <c r="J66" s="36">
        <v>0</v>
      </c>
      <c r="K66" s="43" t="s">
        <v>1064</v>
      </c>
      <c r="L66" s="36">
        <v>0</v>
      </c>
      <c r="M66" s="36" t="s">
        <v>1065</v>
      </c>
      <c r="N66" s="36"/>
      <c r="O66" s="23" t="s">
        <v>1066</v>
      </c>
    </row>
    <row r="67" spans="1:17" ht="28.8" x14ac:dyDescent="0.25">
      <c r="A67" s="23">
        <v>10100503</v>
      </c>
      <c r="B67" t="s">
        <v>1067</v>
      </c>
      <c r="C67" s="36" t="s">
        <v>705</v>
      </c>
      <c r="D67" s="11">
        <v>101005</v>
      </c>
      <c r="E67" s="36">
        <v>1</v>
      </c>
      <c r="F67" t="s">
        <v>1068</v>
      </c>
      <c r="G67" s="36">
        <v>0</v>
      </c>
      <c r="H67" s="36">
        <v>0</v>
      </c>
      <c r="I67" s="36">
        <v>0</v>
      </c>
      <c r="J67" s="36">
        <v>0</v>
      </c>
      <c r="K67" s="43" t="s">
        <v>1069</v>
      </c>
      <c r="L67" s="36">
        <v>0</v>
      </c>
      <c r="M67" s="36" t="s">
        <v>1070</v>
      </c>
      <c r="N67" s="36"/>
      <c r="O67" s="23" t="s">
        <v>1071</v>
      </c>
    </row>
    <row r="68" spans="1:17" ht="28.8" x14ac:dyDescent="0.25">
      <c r="A68" s="11">
        <v>10200501</v>
      </c>
      <c r="B68" t="s">
        <v>1072</v>
      </c>
      <c r="C68" s="36" t="s">
        <v>696</v>
      </c>
      <c r="D68" s="11">
        <v>102005</v>
      </c>
      <c r="E68" s="36">
        <v>1</v>
      </c>
      <c r="F68" s="1" t="s">
        <v>1073</v>
      </c>
      <c r="G68" s="36" t="s">
        <v>1074</v>
      </c>
      <c r="H68" s="36" t="s">
        <v>1075</v>
      </c>
      <c r="I68" s="36">
        <v>0</v>
      </c>
      <c r="J68" s="36">
        <v>0</v>
      </c>
      <c r="K68">
        <v>0</v>
      </c>
      <c r="L68" s="36">
        <v>0</v>
      </c>
      <c r="M68" s="36" t="s">
        <v>1076</v>
      </c>
      <c r="N68" s="36" t="s">
        <v>1077</v>
      </c>
      <c r="O68" s="11" t="s">
        <v>1078</v>
      </c>
      <c r="Q68" s="36" t="s">
        <v>1079</v>
      </c>
    </row>
    <row r="69" spans="1:17" ht="40.200000000000003" customHeight="1" x14ac:dyDescent="0.25">
      <c r="A69" s="11">
        <v>10200502</v>
      </c>
      <c r="B69" t="s">
        <v>1080</v>
      </c>
      <c r="C69" s="36" t="s">
        <v>705</v>
      </c>
      <c r="D69" s="11">
        <v>102005</v>
      </c>
      <c r="E69" s="36">
        <v>1</v>
      </c>
      <c r="F69" t="s">
        <v>1081</v>
      </c>
      <c r="G69" s="36">
        <v>0</v>
      </c>
      <c r="H69" s="36">
        <v>0</v>
      </c>
      <c r="I69" s="36">
        <v>0</v>
      </c>
      <c r="J69" s="36">
        <v>0</v>
      </c>
      <c r="K69" s="43" t="s">
        <v>1082</v>
      </c>
      <c r="L69" s="36">
        <v>0</v>
      </c>
      <c r="M69" s="36" t="s">
        <v>1083</v>
      </c>
      <c r="N69" s="36" t="s">
        <v>1084</v>
      </c>
      <c r="O69" s="11" t="s">
        <v>1085</v>
      </c>
    </row>
    <row r="70" spans="1:17" ht="28.8" x14ac:dyDescent="0.25">
      <c r="A70" s="11">
        <v>10200503</v>
      </c>
      <c r="B70" t="s">
        <v>1067</v>
      </c>
      <c r="C70" s="36" t="s">
        <v>705</v>
      </c>
      <c r="D70" s="11">
        <v>102005</v>
      </c>
      <c r="E70" s="36">
        <v>1</v>
      </c>
      <c r="F70" t="s">
        <v>1068</v>
      </c>
      <c r="G70" s="36">
        <v>0</v>
      </c>
      <c r="H70" s="36">
        <v>0</v>
      </c>
      <c r="I70" s="36">
        <v>0</v>
      </c>
      <c r="J70" s="36">
        <v>0</v>
      </c>
      <c r="K70" s="43" t="s">
        <v>1086</v>
      </c>
      <c r="L70" s="36">
        <v>0</v>
      </c>
      <c r="M70" s="36" t="s">
        <v>1070</v>
      </c>
      <c r="N70" s="36"/>
      <c r="O70" s="11" t="s">
        <v>1087</v>
      </c>
    </row>
    <row r="71" spans="1:17" ht="28.8" x14ac:dyDescent="0.25">
      <c r="A71" s="11">
        <v>20400101</v>
      </c>
      <c r="B71" t="s">
        <v>1088</v>
      </c>
      <c r="C71" s="36" t="s">
        <v>705</v>
      </c>
      <c r="D71" s="11">
        <v>204001</v>
      </c>
      <c r="E71" s="36">
        <v>1</v>
      </c>
      <c r="F71" t="s">
        <v>1089</v>
      </c>
      <c r="G71" s="36">
        <v>0</v>
      </c>
      <c r="H71" s="36">
        <v>0</v>
      </c>
      <c r="I71" s="36">
        <v>0</v>
      </c>
      <c r="J71" s="36">
        <v>0</v>
      </c>
      <c r="K71">
        <v>0</v>
      </c>
      <c r="L71" s="36">
        <v>0</v>
      </c>
      <c r="M71" s="36" t="s">
        <v>1090</v>
      </c>
      <c r="N71" s="36"/>
      <c r="O71" s="11" t="s">
        <v>1091</v>
      </c>
    </row>
    <row r="72" spans="1:17" ht="38.4" customHeight="1" x14ac:dyDescent="0.25">
      <c r="A72" s="11">
        <v>20400102</v>
      </c>
      <c r="B72" t="s">
        <v>1092</v>
      </c>
      <c r="C72" s="36" t="s">
        <v>705</v>
      </c>
      <c r="D72" s="11">
        <v>204001</v>
      </c>
      <c r="E72" s="36">
        <v>1</v>
      </c>
      <c r="F72" t="s">
        <v>1093</v>
      </c>
      <c r="G72" s="36">
        <v>0</v>
      </c>
      <c r="H72" s="36">
        <v>0</v>
      </c>
      <c r="I72" s="36">
        <v>0</v>
      </c>
      <c r="J72" s="36">
        <v>0</v>
      </c>
      <c r="K72" s="43" t="s">
        <v>1094</v>
      </c>
      <c r="L72" s="36">
        <v>0</v>
      </c>
      <c r="M72" s="36" t="s">
        <v>1095</v>
      </c>
      <c r="N72" s="36" t="s">
        <v>1096</v>
      </c>
      <c r="O72" s="11" t="s">
        <v>1097</v>
      </c>
    </row>
    <row r="73" spans="1:17" ht="28.8" x14ac:dyDescent="0.25">
      <c r="A73" s="11">
        <v>20400103</v>
      </c>
      <c r="B73" t="s">
        <v>1098</v>
      </c>
      <c r="C73" s="36" t="s">
        <v>705</v>
      </c>
      <c r="D73" s="11">
        <v>204001</v>
      </c>
      <c r="E73" s="36">
        <v>1</v>
      </c>
      <c r="F73" t="s">
        <v>1099</v>
      </c>
      <c r="G73" s="36">
        <v>0</v>
      </c>
      <c r="H73" s="36">
        <v>0</v>
      </c>
      <c r="I73" s="36">
        <v>0</v>
      </c>
      <c r="J73" s="36">
        <v>0</v>
      </c>
      <c r="K73" s="43" t="s">
        <v>1100</v>
      </c>
      <c r="L73" s="36">
        <v>0</v>
      </c>
      <c r="M73" s="36" t="s">
        <v>1101</v>
      </c>
      <c r="N73" s="36"/>
      <c r="O73" s="11" t="s">
        <v>1102</v>
      </c>
    </row>
    <row r="74" spans="1:17" ht="28.8" x14ac:dyDescent="0.25">
      <c r="A74" s="11">
        <v>30000301</v>
      </c>
      <c r="B74" t="s">
        <v>1103</v>
      </c>
      <c r="C74" s="36" t="s">
        <v>705</v>
      </c>
      <c r="D74" s="11">
        <v>300003</v>
      </c>
      <c r="E74" s="36">
        <v>1</v>
      </c>
      <c r="F74" t="s">
        <v>1104</v>
      </c>
      <c r="G74" s="36">
        <v>0</v>
      </c>
      <c r="H74" s="36">
        <v>0</v>
      </c>
      <c r="I74" s="36">
        <v>0</v>
      </c>
      <c r="J74" s="36">
        <v>0</v>
      </c>
      <c r="K74">
        <v>0</v>
      </c>
      <c r="L74" s="36">
        <v>0</v>
      </c>
      <c r="M74" s="36" t="s">
        <v>1105</v>
      </c>
      <c r="N74" s="36" t="s">
        <v>1106</v>
      </c>
      <c r="O74" s="11" t="s">
        <v>1107</v>
      </c>
    </row>
    <row r="75" spans="1:17" ht="28.8" x14ac:dyDescent="0.25">
      <c r="A75" s="11">
        <v>30000302</v>
      </c>
      <c r="B75" t="s">
        <v>1108</v>
      </c>
      <c r="C75" s="36" t="s">
        <v>705</v>
      </c>
      <c r="D75" s="11">
        <v>300003</v>
      </c>
      <c r="E75" s="36">
        <v>1</v>
      </c>
      <c r="F75" t="s">
        <v>1109</v>
      </c>
      <c r="G75" s="36">
        <v>0</v>
      </c>
      <c r="H75" s="36">
        <v>0</v>
      </c>
      <c r="I75" s="36">
        <v>0</v>
      </c>
      <c r="J75" s="36">
        <v>0</v>
      </c>
      <c r="K75" s="43" t="s">
        <v>1110</v>
      </c>
      <c r="L75" s="36">
        <v>0</v>
      </c>
      <c r="M75" s="36" t="s">
        <v>1111</v>
      </c>
      <c r="N75" s="36"/>
      <c r="O75" s="11" t="s">
        <v>1112</v>
      </c>
    </row>
    <row r="76" spans="1:17" ht="28.8" x14ac:dyDescent="0.25">
      <c r="A76" s="11">
        <v>30000303</v>
      </c>
      <c r="B76" t="s">
        <v>1113</v>
      </c>
      <c r="C76" s="36" t="s">
        <v>705</v>
      </c>
      <c r="D76" s="11">
        <v>300003</v>
      </c>
      <c r="E76" s="36">
        <v>1</v>
      </c>
      <c r="F76" t="s">
        <v>1114</v>
      </c>
      <c r="G76" s="36">
        <v>0</v>
      </c>
      <c r="H76" s="36">
        <v>0</v>
      </c>
      <c r="I76" s="36">
        <v>0</v>
      </c>
      <c r="J76" s="36">
        <v>0</v>
      </c>
      <c r="K76" s="43" t="s">
        <v>1115</v>
      </c>
      <c r="L76" s="36">
        <v>0</v>
      </c>
      <c r="M76" s="36" t="s">
        <v>1116</v>
      </c>
      <c r="N76" s="36"/>
      <c r="O76" s="11" t="s">
        <v>1117</v>
      </c>
    </row>
    <row r="77" spans="1:17" ht="28.8" x14ac:dyDescent="0.25">
      <c r="A77" s="1">
        <v>10190201</v>
      </c>
      <c r="B77" s="36" t="s">
        <v>710</v>
      </c>
      <c r="C77" s="36" t="s">
        <v>696</v>
      </c>
      <c r="D77" s="1">
        <v>101902</v>
      </c>
      <c r="E77" s="36">
        <v>1</v>
      </c>
      <c r="F77" s="36" t="s">
        <v>1118</v>
      </c>
      <c r="G77" s="36" t="s">
        <v>712</v>
      </c>
      <c r="H77" s="36" t="s">
        <v>699</v>
      </c>
      <c r="I77" s="36">
        <v>0</v>
      </c>
      <c r="J77" s="36">
        <v>0</v>
      </c>
      <c r="K77" s="36">
        <v>0</v>
      </c>
      <c r="L77" s="36">
        <v>0</v>
      </c>
      <c r="M77" s="36" t="s">
        <v>1119</v>
      </c>
      <c r="N77" s="36" t="s">
        <v>714</v>
      </c>
      <c r="O77" s="1" t="s">
        <v>715</v>
      </c>
      <c r="P77" s="36"/>
      <c r="Q77" s="45" t="s">
        <v>716</v>
      </c>
    </row>
    <row r="78" spans="1:17" ht="28.8" x14ac:dyDescent="0.25">
      <c r="A78" s="1">
        <v>10190202</v>
      </c>
      <c r="B78" s="36" t="s">
        <v>717</v>
      </c>
      <c r="C78" s="36" t="s">
        <v>705</v>
      </c>
      <c r="D78" s="1">
        <v>101902</v>
      </c>
      <c r="E78" s="36">
        <v>1</v>
      </c>
      <c r="F78" s="36" t="s">
        <v>718</v>
      </c>
      <c r="G78" s="36">
        <v>0</v>
      </c>
      <c r="H78" s="36">
        <v>0</v>
      </c>
      <c r="I78" s="36">
        <v>0</v>
      </c>
      <c r="J78" s="36">
        <v>0</v>
      </c>
      <c r="K78" s="36" t="s">
        <v>719</v>
      </c>
      <c r="L78" s="36">
        <v>0</v>
      </c>
      <c r="M78" s="36" t="s">
        <v>720</v>
      </c>
      <c r="N78" s="36" t="s">
        <v>721</v>
      </c>
      <c r="O78" s="1" t="s">
        <v>722</v>
      </c>
      <c r="P78" s="36"/>
    </row>
    <row r="79" spans="1:17" ht="36.6" customHeight="1" x14ac:dyDescent="0.25">
      <c r="A79" s="1">
        <v>10390201</v>
      </c>
      <c r="B79" s="36" t="s">
        <v>769</v>
      </c>
      <c r="C79" s="36" t="s">
        <v>696</v>
      </c>
      <c r="D79" s="1">
        <v>103902</v>
      </c>
      <c r="E79" s="36">
        <v>1</v>
      </c>
      <c r="F79" s="36" t="s">
        <v>1120</v>
      </c>
      <c r="G79" s="36" t="s">
        <v>771</v>
      </c>
      <c r="H79" s="36" t="s">
        <v>772</v>
      </c>
      <c r="I79" s="36">
        <v>0</v>
      </c>
      <c r="J79" s="36">
        <v>0</v>
      </c>
      <c r="K79" s="36">
        <v>0</v>
      </c>
      <c r="L79" s="36">
        <v>0</v>
      </c>
      <c r="M79" s="36" t="s">
        <v>773</v>
      </c>
      <c r="N79" s="36" t="s">
        <v>774</v>
      </c>
      <c r="O79" s="1" t="s">
        <v>775</v>
      </c>
      <c r="P79" s="36"/>
      <c r="Q79" s="1" t="s">
        <v>776</v>
      </c>
    </row>
    <row r="80" spans="1:17" ht="28.8" x14ac:dyDescent="0.25">
      <c r="A80" s="1">
        <v>10390202</v>
      </c>
      <c r="B80" s="36" t="s">
        <v>777</v>
      </c>
      <c r="C80" s="36" t="s">
        <v>705</v>
      </c>
      <c r="D80" s="1">
        <v>103902</v>
      </c>
      <c r="E80" s="36">
        <v>1</v>
      </c>
      <c r="F80" s="36" t="s">
        <v>778</v>
      </c>
      <c r="G80" s="36">
        <v>0</v>
      </c>
      <c r="H80" s="36">
        <v>0</v>
      </c>
      <c r="I80" s="36">
        <v>0</v>
      </c>
      <c r="J80" s="36">
        <v>0</v>
      </c>
      <c r="K80" s="36" t="s">
        <v>779</v>
      </c>
      <c r="L80" s="36">
        <v>0</v>
      </c>
      <c r="M80" s="36" t="s">
        <v>780</v>
      </c>
      <c r="N80" s="36" t="s">
        <v>781</v>
      </c>
      <c r="O80" s="1" t="s">
        <v>782</v>
      </c>
      <c r="P80" s="36"/>
    </row>
    <row r="81" spans="1:17" ht="43.2" x14ac:dyDescent="0.25">
      <c r="A81" s="1">
        <v>10790101</v>
      </c>
      <c r="B81" s="36" t="s">
        <v>796</v>
      </c>
      <c r="C81" s="36" t="s">
        <v>696</v>
      </c>
      <c r="D81" s="1">
        <v>107901</v>
      </c>
      <c r="E81" s="36">
        <v>1</v>
      </c>
      <c r="F81" s="36" t="s">
        <v>1121</v>
      </c>
      <c r="G81" s="36" t="s">
        <v>757</v>
      </c>
      <c r="H81" s="36" t="s">
        <v>798</v>
      </c>
      <c r="I81" s="36">
        <v>0</v>
      </c>
      <c r="J81" s="36">
        <v>0</v>
      </c>
      <c r="K81" s="36">
        <v>0</v>
      </c>
      <c r="L81" s="36">
        <v>0</v>
      </c>
      <c r="M81" s="36" t="s">
        <v>799</v>
      </c>
      <c r="N81" s="36" t="s">
        <v>800</v>
      </c>
      <c r="O81" s="1" t="s">
        <v>801</v>
      </c>
      <c r="P81" s="36"/>
      <c r="Q81" s="36" t="s">
        <v>802</v>
      </c>
    </row>
    <row r="82" spans="1:17" ht="43.2" x14ac:dyDescent="0.25">
      <c r="A82" s="1">
        <v>10790102</v>
      </c>
      <c r="B82" s="36" t="s">
        <v>803</v>
      </c>
      <c r="C82" s="36" t="s">
        <v>705</v>
      </c>
      <c r="D82" s="1">
        <v>107901</v>
      </c>
      <c r="E82" s="36">
        <v>1</v>
      </c>
      <c r="F82" s="36" t="s">
        <v>804</v>
      </c>
      <c r="G82" s="36">
        <v>0</v>
      </c>
      <c r="H82" s="36">
        <v>0</v>
      </c>
      <c r="I82" s="36">
        <v>0</v>
      </c>
      <c r="J82" s="36">
        <v>0</v>
      </c>
      <c r="K82" s="36" t="s">
        <v>805</v>
      </c>
      <c r="L82" s="36">
        <v>0</v>
      </c>
      <c r="M82" s="36" t="s">
        <v>806</v>
      </c>
      <c r="N82" s="36"/>
      <c r="O82" s="1" t="s">
        <v>807</v>
      </c>
      <c r="P82" s="36"/>
      <c r="Q82" s="36" t="s">
        <v>808</v>
      </c>
    </row>
    <row r="83" spans="1:17" ht="28.8" x14ac:dyDescent="0.25">
      <c r="A83" s="1">
        <v>10990101</v>
      </c>
      <c r="B83" s="36" t="s">
        <v>809</v>
      </c>
      <c r="C83" s="36" t="s">
        <v>696</v>
      </c>
      <c r="D83" s="1">
        <v>109901</v>
      </c>
      <c r="E83" s="36">
        <v>1</v>
      </c>
      <c r="F83" s="36" t="s">
        <v>1122</v>
      </c>
      <c r="G83" s="36" t="s">
        <v>811</v>
      </c>
      <c r="H83" s="36" t="s">
        <v>812</v>
      </c>
      <c r="I83" s="36">
        <v>0</v>
      </c>
      <c r="J83" s="36">
        <v>0</v>
      </c>
      <c r="K83" s="36">
        <v>0</v>
      </c>
      <c r="L83" s="36">
        <v>0</v>
      </c>
      <c r="M83" s="36" t="s">
        <v>813</v>
      </c>
      <c r="N83" s="36" t="s">
        <v>814</v>
      </c>
      <c r="O83" s="1" t="s">
        <v>815</v>
      </c>
      <c r="P83" s="36"/>
      <c r="Q83" s="36" t="s">
        <v>816</v>
      </c>
    </row>
    <row r="84" spans="1:17" ht="43.2" x14ac:dyDescent="0.25">
      <c r="A84" s="1">
        <v>10990102</v>
      </c>
      <c r="B84" s="36" t="s">
        <v>817</v>
      </c>
      <c r="C84" s="36" t="s">
        <v>705</v>
      </c>
      <c r="D84" s="1">
        <v>109901</v>
      </c>
      <c r="E84" s="36">
        <v>1</v>
      </c>
      <c r="F84" s="36" t="s">
        <v>818</v>
      </c>
      <c r="G84" s="36">
        <v>0</v>
      </c>
      <c r="H84" s="36">
        <v>0</v>
      </c>
      <c r="I84" s="36">
        <v>0</v>
      </c>
      <c r="J84" s="36">
        <v>0</v>
      </c>
      <c r="K84" s="36" t="s">
        <v>819</v>
      </c>
      <c r="L84" s="36">
        <v>0</v>
      </c>
      <c r="M84" s="36" t="s">
        <v>820</v>
      </c>
      <c r="N84" s="36" t="s">
        <v>721</v>
      </c>
      <c r="O84" s="1" t="s">
        <v>821</v>
      </c>
      <c r="P84" s="36"/>
    </row>
    <row r="85" spans="1:17" ht="28.8" x14ac:dyDescent="0.25">
      <c r="A85" s="1">
        <v>10490201</v>
      </c>
      <c r="B85" t="s">
        <v>838</v>
      </c>
      <c r="C85" s="36" t="s">
        <v>696</v>
      </c>
      <c r="D85" s="36">
        <v>104902</v>
      </c>
      <c r="E85" s="36">
        <v>1</v>
      </c>
      <c r="F85" s="36" t="s">
        <v>1123</v>
      </c>
      <c r="G85" s="36" t="s">
        <v>840</v>
      </c>
      <c r="H85" s="36" t="s">
        <v>841</v>
      </c>
      <c r="I85" s="36">
        <v>0</v>
      </c>
      <c r="J85" s="36">
        <v>0</v>
      </c>
      <c r="K85" s="36">
        <v>0</v>
      </c>
      <c r="L85" s="36">
        <v>0</v>
      </c>
      <c r="M85" s="36" t="s">
        <v>842</v>
      </c>
      <c r="N85" s="36" t="s">
        <v>843</v>
      </c>
      <c r="O85" s="36" t="s">
        <v>844</v>
      </c>
      <c r="P85" s="36"/>
      <c r="Q85" s="36" t="s">
        <v>845</v>
      </c>
    </row>
    <row r="86" spans="1:17" ht="28.8" x14ac:dyDescent="0.25">
      <c r="A86" s="1">
        <v>10490202</v>
      </c>
      <c r="B86" t="s">
        <v>846</v>
      </c>
      <c r="C86" s="36" t="s">
        <v>705</v>
      </c>
      <c r="D86" s="36">
        <v>104902</v>
      </c>
      <c r="E86" s="36">
        <v>1</v>
      </c>
      <c r="F86" s="36" t="s">
        <v>847</v>
      </c>
      <c r="G86" s="36">
        <v>0</v>
      </c>
      <c r="H86" s="36">
        <v>0</v>
      </c>
      <c r="I86" s="36">
        <v>0</v>
      </c>
      <c r="J86" s="36">
        <v>0</v>
      </c>
      <c r="K86" s="36" t="s">
        <v>848</v>
      </c>
      <c r="L86" s="36">
        <v>0</v>
      </c>
      <c r="M86" s="36" t="s">
        <v>849</v>
      </c>
      <c r="N86" s="36" t="s">
        <v>850</v>
      </c>
      <c r="O86" s="36" t="s">
        <v>851</v>
      </c>
      <c r="P86" s="36"/>
    </row>
    <row r="87" spans="1:17" ht="44.4" customHeight="1" x14ac:dyDescent="0.25">
      <c r="A87" s="1">
        <v>10490203</v>
      </c>
      <c r="B87" s="15" t="s">
        <v>852</v>
      </c>
      <c r="C87" s="36" t="s">
        <v>705</v>
      </c>
      <c r="D87" s="36">
        <v>104902</v>
      </c>
      <c r="E87" s="36">
        <v>1</v>
      </c>
      <c r="F87" s="36" t="s">
        <v>853</v>
      </c>
      <c r="G87" s="36">
        <v>0</v>
      </c>
      <c r="H87" s="36">
        <v>0</v>
      </c>
      <c r="I87" s="36">
        <v>0</v>
      </c>
      <c r="J87" s="36">
        <v>0</v>
      </c>
      <c r="K87" s="36" t="s">
        <v>854</v>
      </c>
      <c r="L87" s="36">
        <v>0</v>
      </c>
      <c r="M87" s="36" t="s">
        <v>855</v>
      </c>
      <c r="N87" s="36"/>
      <c r="O87" s="36" t="s">
        <v>856</v>
      </c>
      <c r="P87" s="36"/>
      <c r="Q87" s="35"/>
    </row>
    <row r="88" spans="1:17" ht="28.8" x14ac:dyDescent="0.25">
      <c r="A88" s="1">
        <v>10190301</v>
      </c>
      <c r="B88" t="s">
        <v>857</v>
      </c>
      <c r="C88" s="36" t="s">
        <v>696</v>
      </c>
      <c r="D88" s="36">
        <v>101903</v>
      </c>
      <c r="E88" s="36">
        <v>1</v>
      </c>
      <c r="F88" s="36" t="s">
        <v>1124</v>
      </c>
      <c r="G88" s="36" t="s">
        <v>785</v>
      </c>
      <c r="H88" s="36" t="s">
        <v>859</v>
      </c>
      <c r="I88" s="36">
        <v>0</v>
      </c>
      <c r="J88" s="36">
        <v>0</v>
      </c>
      <c r="K88" s="36">
        <v>0</v>
      </c>
      <c r="L88" s="36">
        <v>0</v>
      </c>
      <c r="M88" s="36" t="s">
        <v>860</v>
      </c>
      <c r="N88" s="36" t="s">
        <v>728</v>
      </c>
      <c r="O88" s="36" t="s">
        <v>861</v>
      </c>
      <c r="P88" s="36"/>
      <c r="Q88" s="45" t="s">
        <v>862</v>
      </c>
    </row>
    <row r="89" spans="1:17" ht="28.8" x14ac:dyDescent="0.25">
      <c r="A89" s="1">
        <v>10190302</v>
      </c>
      <c r="B89" t="s">
        <v>863</v>
      </c>
      <c r="C89" s="36" t="s">
        <v>705</v>
      </c>
      <c r="D89" s="36">
        <v>101903</v>
      </c>
      <c r="E89" s="36">
        <v>1</v>
      </c>
      <c r="F89" s="36" t="s">
        <v>1125</v>
      </c>
      <c r="G89" s="36">
        <v>0</v>
      </c>
      <c r="H89" s="36">
        <v>0</v>
      </c>
      <c r="I89" s="36">
        <v>0</v>
      </c>
      <c r="J89" s="36">
        <v>0</v>
      </c>
      <c r="K89" s="36" t="s">
        <v>865</v>
      </c>
      <c r="L89" s="36">
        <v>0</v>
      </c>
      <c r="M89" s="36" t="s">
        <v>866</v>
      </c>
      <c r="N89" s="36" t="s">
        <v>867</v>
      </c>
      <c r="O89" s="36" t="s">
        <v>868</v>
      </c>
      <c r="P89" s="36"/>
      <c r="Q89" s="35"/>
    </row>
    <row r="90" spans="1:17" ht="28.8" x14ac:dyDescent="0.25">
      <c r="A90" s="1">
        <v>10190303</v>
      </c>
      <c r="B90" t="s">
        <v>869</v>
      </c>
      <c r="C90" s="36" t="s">
        <v>705</v>
      </c>
      <c r="D90" s="36">
        <v>101903</v>
      </c>
      <c r="E90" s="36">
        <v>1</v>
      </c>
      <c r="F90" s="36" t="s">
        <v>870</v>
      </c>
      <c r="G90" s="36">
        <v>0</v>
      </c>
      <c r="H90" s="36">
        <v>0</v>
      </c>
      <c r="I90" s="36">
        <v>0</v>
      </c>
      <c r="J90" s="36">
        <v>0</v>
      </c>
      <c r="K90" s="36" t="s">
        <v>871</v>
      </c>
      <c r="L90" s="36">
        <v>0</v>
      </c>
      <c r="M90" s="36" t="s">
        <v>872</v>
      </c>
      <c r="N90" s="36" t="s">
        <v>873</v>
      </c>
      <c r="O90" s="36" t="s">
        <v>874</v>
      </c>
      <c r="P90" s="36"/>
      <c r="Q90" s="35"/>
    </row>
    <row r="91" spans="1:17" ht="28.8" x14ac:dyDescent="0.25">
      <c r="A91" s="1">
        <v>10290401</v>
      </c>
      <c r="B91" t="s">
        <v>875</v>
      </c>
      <c r="C91" s="36" t="s">
        <v>696</v>
      </c>
      <c r="D91" s="36">
        <v>102904</v>
      </c>
      <c r="E91" s="36">
        <v>1</v>
      </c>
      <c r="F91" s="36" t="s">
        <v>1126</v>
      </c>
      <c r="G91" s="36" t="s">
        <v>877</v>
      </c>
      <c r="H91" s="36" t="s">
        <v>878</v>
      </c>
      <c r="I91" s="36">
        <v>0</v>
      </c>
      <c r="J91" s="36">
        <v>0</v>
      </c>
      <c r="K91" s="36">
        <v>0</v>
      </c>
      <c r="L91" s="36">
        <v>0</v>
      </c>
      <c r="M91" s="36" t="s">
        <v>879</v>
      </c>
      <c r="N91" s="36" t="s">
        <v>760</v>
      </c>
      <c r="O91" s="36" t="s">
        <v>880</v>
      </c>
      <c r="P91" s="36"/>
      <c r="Q91" s="36" t="s">
        <v>881</v>
      </c>
    </row>
    <row r="92" spans="1:17" ht="28.8" x14ac:dyDescent="0.25">
      <c r="A92" s="1">
        <v>10290402</v>
      </c>
      <c r="B92" t="s">
        <v>882</v>
      </c>
      <c r="C92" s="36" t="s">
        <v>705</v>
      </c>
      <c r="D92" s="36">
        <v>102904</v>
      </c>
      <c r="E92" s="36">
        <v>1</v>
      </c>
      <c r="F92" t="s">
        <v>883</v>
      </c>
      <c r="G92" s="36">
        <v>0</v>
      </c>
      <c r="H92" s="36">
        <v>0</v>
      </c>
      <c r="I92" s="36">
        <v>0</v>
      </c>
      <c r="J92" s="36">
        <v>0</v>
      </c>
      <c r="K92" s="36" t="s">
        <v>884</v>
      </c>
      <c r="L92" s="36">
        <v>0</v>
      </c>
      <c r="M92" s="36" t="s">
        <v>885</v>
      </c>
      <c r="N92" s="36" t="s">
        <v>886</v>
      </c>
      <c r="O92" s="37" t="s">
        <v>887</v>
      </c>
      <c r="Q92" s="35"/>
    </row>
    <row r="93" spans="1:17" ht="28.8" x14ac:dyDescent="0.25">
      <c r="A93" s="1">
        <v>10290403</v>
      </c>
      <c r="B93" t="s">
        <v>888</v>
      </c>
      <c r="C93" s="36" t="s">
        <v>705</v>
      </c>
      <c r="D93" s="36">
        <v>102904</v>
      </c>
      <c r="E93" s="36">
        <v>1</v>
      </c>
      <c r="F93" t="s">
        <v>889</v>
      </c>
      <c r="G93" s="36">
        <v>0</v>
      </c>
      <c r="H93" s="36">
        <v>0</v>
      </c>
      <c r="I93" s="36">
        <v>0</v>
      </c>
      <c r="J93" s="36">
        <v>0</v>
      </c>
      <c r="K93" s="36" t="s">
        <v>890</v>
      </c>
      <c r="L93" s="36">
        <v>0</v>
      </c>
      <c r="M93" s="36" t="s">
        <v>891</v>
      </c>
      <c r="N93" s="36"/>
      <c r="O93" s="37" t="s">
        <v>892</v>
      </c>
      <c r="Q93" s="35"/>
    </row>
    <row r="94" spans="1:17" ht="28.8" x14ac:dyDescent="0.25">
      <c r="A94" s="1">
        <v>10390301</v>
      </c>
      <c r="B94" t="s">
        <v>176</v>
      </c>
      <c r="C94" s="36" t="s">
        <v>696</v>
      </c>
      <c r="D94" s="36">
        <v>103903</v>
      </c>
      <c r="E94" s="36">
        <v>1</v>
      </c>
      <c r="F94" s="37" t="s">
        <v>1127</v>
      </c>
      <c r="G94" s="36" t="s">
        <v>757</v>
      </c>
      <c r="H94" s="36" t="s">
        <v>894</v>
      </c>
      <c r="I94" s="36">
        <v>0</v>
      </c>
      <c r="J94" s="36">
        <v>0</v>
      </c>
      <c r="K94">
        <v>0</v>
      </c>
      <c r="L94" s="36">
        <v>0</v>
      </c>
      <c r="M94" s="36" t="s">
        <v>895</v>
      </c>
      <c r="N94" s="36" t="s">
        <v>1128</v>
      </c>
      <c r="O94" s="37" t="s">
        <v>896</v>
      </c>
      <c r="Q94" s="36" t="s">
        <v>897</v>
      </c>
    </row>
    <row r="95" spans="1:17" ht="28.8" x14ac:dyDescent="0.25">
      <c r="A95" s="1">
        <v>10390302</v>
      </c>
      <c r="B95" t="s">
        <v>898</v>
      </c>
      <c r="C95" s="36" t="s">
        <v>705</v>
      </c>
      <c r="D95" s="36">
        <v>103903</v>
      </c>
      <c r="E95" s="36">
        <v>1</v>
      </c>
      <c r="F95" t="s">
        <v>899</v>
      </c>
      <c r="G95" s="36">
        <v>0</v>
      </c>
      <c r="H95" s="36">
        <v>0</v>
      </c>
      <c r="I95" s="36">
        <v>0</v>
      </c>
      <c r="J95" s="36">
        <v>0</v>
      </c>
      <c r="K95" s="36" t="s">
        <v>900</v>
      </c>
      <c r="L95" s="36">
        <v>0</v>
      </c>
      <c r="M95" s="36" t="s">
        <v>901</v>
      </c>
      <c r="N95" s="36"/>
      <c r="O95" s="37" t="s">
        <v>902</v>
      </c>
      <c r="Q95" s="35"/>
    </row>
    <row r="96" spans="1:17" ht="28.8" x14ac:dyDescent="0.25">
      <c r="A96" s="1">
        <v>10390303</v>
      </c>
      <c r="B96" t="s">
        <v>903</v>
      </c>
      <c r="C96" s="36" t="s">
        <v>705</v>
      </c>
      <c r="D96" s="36">
        <v>103903</v>
      </c>
      <c r="E96" s="36">
        <v>1</v>
      </c>
      <c r="F96" t="s">
        <v>904</v>
      </c>
      <c r="G96" s="36">
        <v>0</v>
      </c>
      <c r="H96" s="36">
        <v>0</v>
      </c>
      <c r="I96" s="36">
        <v>0</v>
      </c>
      <c r="J96" s="36">
        <v>0</v>
      </c>
      <c r="K96" s="36" t="s">
        <v>905</v>
      </c>
      <c r="L96" s="36">
        <v>0</v>
      </c>
      <c r="M96" s="36" t="s">
        <v>906</v>
      </c>
      <c r="N96" s="36"/>
      <c r="O96" s="37" t="s">
        <v>907</v>
      </c>
      <c r="Q96" s="35"/>
    </row>
    <row r="97" spans="1:17" ht="40.950000000000003" customHeight="1" x14ac:dyDescent="0.25">
      <c r="A97" s="1">
        <v>10590101</v>
      </c>
      <c r="B97" t="s">
        <v>908</v>
      </c>
      <c r="C97" s="36" t="s">
        <v>696</v>
      </c>
      <c r="D97" s="36">
        <v>105901</v>
      </c>
      <c r="E97" s="36">
        <v>1</v>
      </c>
      <c r="F97" s="37" t="s">
        <v>1129</v>
      </c>
      <c r="G97" s="36" t="s">
        <v>910</v>
      </c>
      <c r="H97" s="36" t="s">
        <v>911</v>
      </c>
      <c r="I97" s="36">
        <v>0</v>
      </c>
      <c r="J97" s="36">
        <v>0</v>
      </c>
      <c r="K97">
        <v>0</v>
      </c>
      <c r="L97" s="36">
        <v>0</v>
      </c>
      <c r="M97" s="36" t="s">
        <v>912</v>
      </c>
      <c r="N97" s="36" t="s">
        <v>843</v>
      </c>
      <c r="O97" s="37" t="s">
        <v>913</v>
      </c>
      <c r="Q97" s="36" t="s">
        <v>914</v>
      </c>
    </row>
    <row r="98" spans="1:17" ht="28.8" x14ac:dyDescent="0.25">
      <c r="A98" s="1">
        <v>10590102</v>
      </c>
      <c r="B98" t="s">
        <v>915</v>
      </c>
      <c r="C98" s="36" t="s">
        <v>705</v>
      </c>
      <c r="D98" s="36">
        <v>105901</v>
      </c>
      <c r="E98" s="36">
        <v>1</v>
      </c>
      <c r="F98" t="s">
        <v>916</v>
      </c>
      <c r="G98" s="36">
        <v>0</v>
      </c>
      <c r="H98" s="36">
        <v>0</v>
      </c>
      <c r="I98" s="36">
        <v>0</v>
      </c>
      <c r="J98" s="36">
        <v>0</v>
      </c>
      <c r="K98" s="36" t="s">
        <v>917</v>
      </c>
      <c r="L98" s="36">
        <v>0</v>
      </c>
      <c r="M98" s="36" t="s">
        <v>918</v>
      </c>
      <c r="N98" s="36"/>
      <c r="O98" s="37" t="s">
        <v>919</v>
      </c>
      <c r="Q98" s="35"/>
    </row>
    <row r="99" spans="1:17" ht="28.8" x14ac:dyDescent="0.25">
      <c r="A99" s="1">
        <v>10590103</v>
      </c>
      <c r="B99" t="s">
        <v>920</v>
      </c>
      <c r="C99" s="36" t="s">
        <v>705</v>
      </c>
      <c r="D99" s="36">
        <v>105901</v>
      </c>
      <c r="E99" s="36">
        <v>1</v>
      </c>
      <c r="F99" t="s">
        <v>921</v>
      </c>
      <c r="G99" s="36">
        <v>0</v>
      </c>
      <c r="H99" s="36">
        <v>0</v>
      </c>
      <c r="I99" s="36">
        <v>0</v>
      </c>
      <c r="J99" s="36">
        <v>0</v>
      </c>
      <c r="K99" s="36" t="s">
        <v>922</v>
      </c>
      <c r="L99" s="36">
        <v>0</v>
      </c>
      <c r="M99" s="36" t="s">
        <v>923</v>
      </c>
      <c r="N99" s="36" t="s">
        <v>826</v>
      </c>
      <c r="O99" s="37" t="s">
        <v>924</v>
      </c>
      <c r="Q99" s="35"/>
    </row>
    <row r="100" spans="1:17" ht="28.8" x14ac:dyDescent="0.25">
      <c r="A100" s="1">
        <v>10190401</v>
      </c>
      <c r="B100" t="s">
        <v>948</v>
      </c>
      <c r="C100" s="36" t="s">
        <v>696</v>
      </c>
      <c r="D100" s="36">
        <v>101904</v>
      </c>
      <c r="E100" s="36">
        <v>1</v>
      </c>
      <c r="F100" s="37" t="s">
        <v>1130</v>
      </c>
      <c r="G100" s="36" t="s">
        <v>950</v>
      </c>
      <c r="H100" s="36" t="s">
        <v>878</v>
      </c>
      <c r="I100" s="36">
        <v>0</v>
      </c>
      <c r="J100" s="36">
        <v>0</v>
      </c>
      <c r="K100">
        <v>0</v>
      </c>
      <c r="L100" s="36">
        <v>0</v>
      </c>
      <c r="M100" s="36" t="s">
        <v>951</v>
      </c>
      <c r="N100" s="36" t="s">
        <v>1128</v>
      </c>
      <c r="O100" s="37" t="s">
        <v>953</v>
      </c>
      <c r="Q100" s="45" t="s">
        <v>954</v>
      </c>
    </row>
    <row r="101" spans="1:17" ht="28.8" x14ac:dyDescent="0.25">
      <c r="A101" s="1">
        <v>10190402</v>
      </c>
      <c r="B101" t="s">
        <v>955</v>
      </c>
      <c r="C101" s="36" t="s">
        <v>705</v>
      </c>
      <c r="D101" s="36">
        <v>101904</v>
      </c>
      <c r="E101" s="36">
        <v>1</v>
      </c>
      <c r="F101" t="s">
        <v>956</v>
      </c>
      <c r="G101" s="36">
        <v>0</v>
      </c>
      <c r="H101" s="36">
        <v>0</v>
      </c>
      <c r="I101" s="36">
        <v>0</v>
      </c>
      <c r="J101" s="36">
        <v>0</v>
      </c>
      <c r="K101" s="36" t="s">
        <v>957</v>
      </c>
      <c r="L101" s="36">
        <v>0</v>
      </c>
      <c r="M101" s="36" t="s">
        <v>958</v>
      </c>
      <c r="N101" s="36" t="s">
        <v>959</v>
      </c>
      <c r="O101" s="37" t="s">
        <v>960</v>
      </c>
      <c r="Q101" s="35"/>
    </row>
    <row r="102" spans="1:17" ht="28.8" x14ac:dyDescent="0.25">
      <c r="A102" s="1">
        <v>10190403</v>
      </c>
      <c r="B102" t="s">
        <v>961</v>
      </c>
      <c r="C102" s="36" t="s">
        <v>705</v>
      </c>
      <c r="D102" s="36">
        <v>101904</v>
      </c>
      <c r="E102" s="36">
        <v>1</v>
      </c>
      <c r="F102" t="s">
        <v>962</v>
      </c>
      <c r="G102" s="36">
        <v>0</v>
      </c>
      <c r="H102" s="36">
        <v>0</v>
      </c>
      <c r="I102" s="36">
        <v>0</v>
      </c>
      <c r="J102" s="36">
        <v>0</v>
      </c>
      <c r="K102" s="36" t="s">
        <v>963</v>
      </c>
      <c r="L102" s="36">
        <v>0</v>
      </c>
      <c r="M102" s="36" t="s">
        <v>964</v>
      </c>
      <c r="N102" s="36"/>
      <c r="O102" s="37" t="s">
        <v>965</v>
      </c>
      <c r="Q102" s="35"/>
    </row>
    <row r="103" spans="1:17" ht="28.8" x14ac:dyDescent="0.25">
      <c r="A103" s="1">
        <v>10490301</v>
      </c>
      <c r="B103" t="s">
        <v>1013</v>
      </c>
      <c r="C103" s="36" t="s">
        <v>696</v>
      </c>
      <c r="D103" s="36">
        <v>104903</v>
      </c>
      <c r="E103" s="36">
        <v>1</v>
      </c>
      <c r="F103" s="1" t="s">
        <v>1131</v>
      </c>
      <c r="G103" s="36" t="s">
        <v>1015</v>
      </c>
      <c r="H103" s="36" t="s">
        <v>841</v>
      </c>
      <c r="I103" s="36">
        <v>0</v>
      </c>
      <c r="J103" s="36">
        <v>0</v>
      </c>
      <c r="K103">
        <v>0</v>
      </c>
      <c r="L103" s="36">
        <v>0</v>
      </c>
      <c r="M103" s="36" t="s">
        <v>1016</v>
      </c>
      <c r="N103" s="36" t="s">
        <v>1017</v>
      </c>
      <c r="O103" s="37" t="s">
        <v>1018</v>
      </c>
      <c r="Q103" s="36" t="s">
        <v>1019</v>
      </c>
    </row>
    <row r="104" spans="1:17" s="35" customFormat="1" ht="43.2" x14ac:dyDescent="0.25">
      <c r="A104" s="38">
        <v>10490302</v>
      </c>
      <c r="B104" s="35" t="s">
        <v>1020</v>
      </c>
      <c r="C104" s="39" t="s">
        <v>705</v>
      </c>
      <c r="D104" s="39">
        <v>104903</v>
      </c>
      <c r="E104" s="36">
        <v>1</v>
      </c>
      <c r="F104" s="40" t="s">
        <v>1021</v>
      </c>
      <c r="G104" s="39">
        <v>0</v>
      </c>
      <c r="H104" s="39">
        <v>0</v>
      </c>
      <c r="I104" s="39">
        <v>0</v>
      </c>
      <c r="J104" s="39">
        <v>0</v>
      </c>
      <c r="K104" s="42" t="s">
        <v>1022</v>
      </c>
      <c r="L104" s="39">
        <v>0</v>
      </c>
      <c r="M104" s="39" t="s">
        <v>1023</v>
      </c>
      <c r="N104" s="39" t="s">
        <v>1024</v>
      </c>
      <c r="O104" s="41" t="s">
        <v>1025</v>
      </c>
      <c r="Q104" s="39" t="s">
        <v>1026</v>
      </c>
    </row>
    <row r="105" spans="1:17" ht="28.8" x14ac:dyDescent="0.25">
      <c r="A105" s="1">
        <v>10490303</v>
      </c>
      <c r="B105" t="s">
        <v>1027</v>
      </c>
      <c r="C105" s="36" t="s">
        <v>705</v>
      </c>
      <c r="D105" s="36">
        <v>104903</v>
      </c>
      <c r="E105" s="36">
        <v>1</v>
      </c>
      <c r="F105" s="11" t="s">
        <v>1028</v>
      </c>
      <c r="G105" s="36">
        <v>0</v>
      </c>
      <c r="H105" s="36">
        <v>0</v>
      </c>
      <c r="I105" s="36">
        <v>0</v>
      </c>
      <c r="J105" s="36">
        <v>0</v>
      </c>
      <c r="K105" s="43" t="s">
        <v>1029</v>
      </c>
      <c r="L105" s="36">
        <v>0</v>
      </c>
      <c r="M105" s="36" t="s">
        <v>1030</v>
      </c>
      <c r="N105" s="36"/>
      <c r="O105" s="37" t="s">
        <v>1031</v>
      </c>
      <c r="Q105" s="35"/>
    </row>
    <row r="106" spans="1:17" ht="28.8" x14ac:dyDescent="0.25">
      <c r="A106" s="1">
        <v>10490304</v>
      </c>
      <c r="B106" t="s">
        <v>1032</v>
      </c>
      <c r="C106" s="36" t="s">
        <v>705</v>
      </c>
      <c r="D106" s="36">
        <v>104903</v>
      </c>
      <c r="E106" s="36">
        <v>1</v>
      </c>
      <c r="F106" t="s">
        <v>1033</v>
      </c>
      <c r="G106" s="36">
        <v>0</v>
      </c>
      <c r="H106" s="36">
        <v>0</v>
      </c>
      <c r="I106" s="36">
        <v>0</v>
      </c>
      <c r="J106" s="36">
        <v>0</v>
      </c>
      <c r="K106" s="43" t="s">
        <v>1034</v>
      </c>
      <c r="L106" s="36">
        <v>0</v>
      </c>
      <c r="M106" s="36" t="s">
        <v>1035</v>
      </c>
      <c r="N106" s="36"/>
      <c r="O106" s="37" t="s">
        <v>1036</v>
      </c>
      <c r="Q106" s="35"/>
    </row>
    <row r="107" spans="1:17" ht="28.8" x14ac:dyDescent="0.25">
      <c r="A107" s="1">
        <v>10890101</v>
      </c>
      <c r="B107" t="s">
        <v>1037</v>
      </c>
      <c r="C107" s="36" t="s">
        <v>696</v>
      </c>
      <c r="D107" s="36">
        <v>108901</v>
      </c>
      <c r="E107" s="36">
        <v>1</v>
      </c>
      <c r="F107" s="1" t="s">
        <v>1132</v>
      </c>
      <c r="G107" s="36" t="s">
        <v>877</v>
      </c>
      <c r="H107" s="36" t="s">
        <v>699</v>
      </c>
      <c r="I107" s="36">
        <v>0</v>
      </c>
      <c r="J107" s="36">
        <v>0</v>
      </c>
      <c r="K107" s="43">
        <v>0</v>
      </c>
      <c r="L107" s="36">
        <v>0</v>
      </c>
      <c r="M107" s="36" t="s">
        <v>1039</v>
      </c>
      <c r="N107" s="36" t="s">
        <v>1040</v>
      </c>
      <c r="O107" s="37" t="s">
        <v>1041</v>
      </c>
      <c r="Q107" s="36" t="s">
        <v>1042</v>
      </c>
    </row>
    <row r="108" spans="1:17" ht="43.2" x14ac:dyDescent="0.25">
      <c r="A108" s="1">
        <v>10890102</v>
      </c>
      <c r="B108" t="s">
        <v>1043</v>
      </c>
      <c r="C108" s="36" t="s">
        <v>705</v>
      </c>
      <c r="D108" s="36">
        <v>108901</v>
      </c>
      <c r="E108" s="36">
        <v>1</v>
      </c>
      <c r="F108" t="s">
        <v>1044</v>
      </c>
      <c r="G108" s="36">
        <v>0</v>
      </c>
      <c r="H108" s="36">
        <v>0</v>
      </c>
      <c r="I108" s="36">
        <v>0</v>
      </c>
      <c r="J108" s="36">
        <v>0</v>
      </c>
      <c r="K108" s="43" t="s">
        <v>1045</v>
      </c>
      <c r="L108" s="36">
        <v>0</v>
      </c>
      <c r="M108" s="36" t="s">
        <v>1046</v>
      </c>
      <c r="N108" s="36" t="s">
        <v>1047</v>
      </c>
      <c r="O108" s="37" t="s">
        <v>1048</v>
      </c>
      <c r="Q108" s="36" t="s">
        <v>1049</v>
      </c>
    </row>
    <row r="109" spans="1:17" ht="28.8" x14ac:dyDescent="0.25">
      <c r="A109" s="1">
        <v>10890103</v>
      </c>
      <c r="B109" t="s">
        <v>1050</v>
      </c>
      <c r="C109" s="36" t="s">
        <v>705</v>
      </c>
      <c r="D109" s="36">
        <v>108901</v>
      </c>
      <c r="E109" s="36">
        <v>1</v>
      </c>
      <c r="F109" t="s">
        <v>1051</v>
      </c>
      <c r="G109" s="36">
        <v>0</v>
      </c>
      <c r="H109" s="36">
        <v>0</v>
      </c>
      <c r="I109" s="36">
        <v>0</v>
      </c>
      <c r="J109" s="36">
        <v>0</v>
      </c>
      <c r="K109" s="43" t="s">
        <v>1052</v>
      </c>
      <c r="L109" s="36">
        <v>0</v>
      </c>
      <c r="M109" s="36" t="s">
        <v>1053</v>
      </c>
      <c r="N109" s="36"/>
      <c r="O109" s="37" t="s">
        <v>1054</v>
      </c>
      <c r="Q109" s="35"/>
    </row>
    <row r="110" spans="1:17" x14ac:dyDescent="0.25">
      <c r="E110" s="36"/>
    </row>
    <row r="111" spans="1:17" x14ac:dyDescent="0.25">
      <c r="E111" s="36"/>
    </row>
    <row r="112" spans="1:17" x14ac:dyDescent="0.25">
      <c r="E112" s="36"/>
    </row>
    <row r="113" spans="5:5" x14ac:dyDescent="0.25">
      <c r="E113" s="36"/>
    </row>
    <row r="114" spans="5:5" x14ac:dyDescent="0.25">
      <c r="E114" s="36"/>
    </row>
    <row r="115" spans="5:5" x14ac:dyDescent="0.25">
      <c r="E115" s="36"/>
    </row>
    <row r="116" spans="5:5" x14ac:dyDescent="0.25">
      <c r="E116" s="36"/>
    </row>
    <row r="117" spans="5:5" x14ac:dyDescent="0.25">
      <c r="E117" s="36"/>
    </row>
    <row r="118" spans="5:5" x14ac:dyDescent="0.25">
      <c r="E118" s="36"/>
    </row>
    <row r="119" spans="5:5" x14ac:dyDescent="0.25">
      <c r="E119" s="36"/>
    </row>
    <row r="120" spans="5:5" x14ac:dyDescent="0.25">
      <c r="E120" s="36"/>
    </row>
    <row r="121" spans="5:5" x14ac:dyDescent="0.25">
      <c r="E121" s="36"/>
    </row>
  </sheetData>
  <sortState xmlns:xlrd2="http://schemas.microsoft.com/office/spreadsheetml/2017/richdata2" ref="A2:P29">
    <sortCondition ref="A1"/>
  </sortState>
  <phoneticPr fontId="21" type="noConversion"/>
  <pageMargins left="0.7" right="0.7" top="0.75" bottom="0.75" header="0.3" footer="0.3"/>
  <pageSetup paperSize="9" orientation="portrait" horizontalDpi="360" verticalDpi="36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opLeftCell="A7" workbookViewId="0">
      <selection activeCell="C21" sqref="C21"/>
    </sheetView>
  </sheetViews>
  <sheetFormatPr defaultColWidth="8.88671875" defaultRowHeight="14.4" x14ac:dyDescent="0.25"/>
  <cols>
    <col min="1" max="1" width="19.5546875" customWidth="1"/>
    <col min="2" max="2" width="20.5546875" customWidth="1"/>
    <col min="3" max="3" width="15.21875" customWidth="1"/>
    <col min="4" max="4" width="23.21875" customWidth="1"/>
    <col min="5" max="5" width="19.88671875" customWidth="1"/>
    <col min="6" max="6" width="90.5546875" customWidth="1"/>
    <col min="7" max="7" width="28.88671875" customWidth="1"/>
  </cols>
  <sheetData>
    <row r="1" spans="1:8" x14ac:dyDescent="0.25">
      <c r="A1" s="20" t="s">
        <v>1133</v>
      </c>
      <c r="B1" s="20" t="s">
        <v>1134</v>
      </c>
      <c r="C1" s="20" t="s">
        <v>1135</v>
      </c>
      <c r="D1" s="20" t="s">
        <v>1136</v>
      </c>
      <c r="E1" s="20" t="s">
        <v>1137</v>
      </c>
      <c r="F1" s="20" t="s">
        <v>1138</v>
      </c>
      <c r="G1" s="20" t="s">
        <v>1139</v>
      </c>
      <c r="H1" s="20"/>
    </row>
    <row r="2" spans="1:8" x14ac:dyDescent="0.25">
      <c r="A2" s="25" t="s">
        <v>13</v>
      </c>
      <c r="B2" s="21" t="s">
        <v>14</v>
      </c>
      <c r="C2" s="25" t="s">
        <v>20</v>
      </c>
      <c r="D2" s="25" t="s">
        <v>1140</v>
      </c>
      <c r="E2" s="25" t="s">
        <v>1141</v>
      </c>
      <c r="F2" s="25" t="s">
        <v>1142</v>
      </c>
      <c r="G2" s="25" t="s">
        <v>12</v>
      </c>
      <c r="H2" s="25"/>
    </row>
    <row r="3" spans="1:8" x14ac:dyDescent="0.25">
      <c r="A3" s="25">
        <v>1020101</v>
      </c>
      <c r="B3" s="21" t="s">
        <v>1143</v>
      </c>
      <c r="C3" s="25">
        <v>1020203</v>
      </c>
      <c r="D3" s="25">
        <v>0</v>
      </c>
      <c r="E3" s="25">
        <v>0</v>
      </c>
      <c r="F3" s="25" t="s">
        <v>1144</v>
      </c>
      <c r="G3" s="25">
        <v>0</v>
      </c>
      <c r="H3" s="25"/>
    </row>
    <row r="4" spans="1:8" ht="28.05" customHeight="1" x14ac:dyDescent="0.25">
      <c r="A4" s="25">
        <v>1020102</v>
      </c>
      <c r="B4" s="25" t="s">
        <v>1145</v>
      </c>
      <c r="C4" s="25">
        <v>1020203</v>
      </c>
      <c r="D4" s="25">
        <v>0</v>
      </c>
      <c r="E4" s="25">
        <v>0</v>
      </c>
      <c r="F4" s="32" t="s">
        <v>1146</v>
      </c>
      <c r="G4" s="25">
        <v>0</v>
      </c>
      <c r="H4" s="25"/>
    </row>
    <row r="5" spans="1:8" ht="27" customHeight="1" x14ac:dyDescent="0.25">
      <c r="A5" s="25">
        <v>1020103</v>
      </c>
      <c r="B5" s="25" t="s">
        <v>1147</v>
      </c>
      <c r="C5" s="25">
        <v>1020203</v>
      </c>
      <c r="D5" s="25">
        <v>0</v>
      </c>
      <c r="E5" s="25">
        <v>1</v>
      </c>
      <c r="F5" s="32" t="s">
        <v>1148</v>
      </c>
      <c r="G5" s="25">
        <v>0</v>
      </c>
      <c r="H5" s="25"/>
    </row>
    <row r="6" spans="1:8" x14ac:dyDescent="0.25">
      <c r="A6" s="25">
        <v>1020104</v>
      </c>
      <c r="B6" s="25" t="s">
        <v>1149</v>
      </c>
      <c r="C6" s="25">
        <v>1020110</v>
      </c>
      <c r="D6" s="25">
        <v>0</v>
      </c>
      <c r="E6" s="25">
        <v>2</v>
      </c>
      <c r="F6" s="25" t="s">
        <v>1150</v>
      </c>
      <c r="G6" s="25">
        <v>0</v>
      </c>
      <c r="H6" s="25"/>
    </row>
    <row r="7" spans="1:8" x14ac:dyDescent="0.25">
      <c r="A7" s="33">
        <v>1050101</v>
      </c>
      <c r="B7" s="25" t="s">
        <v>1151</v>
      </c>
      <c r="C7" s="25">
        <v>1050102</v>
      </c>
      <c r="D7" s="25">
        <v>0</v>
      </c>
      <c r="E7" s="25">
        <v>3</v>
      </c>
      <c r="F7" s="25" t="s">
        <v>1152</v>
      </c>
      <c r="G7" s="25">
        <v>0</v>
      </c>
      <c r="H7" s="25"/>
    </row>
    <row r="8" spans="1:8" ht="15" x14ac:dyDescent="0.3">
      <c r="A8" s="33">
        <v>1050102</v>
      </c>
      <c r="B8" s="25" t="s">
        <v>1153</v>
      </c>
      <c r="C8" s="25">
        <v>1050002</v>
      </c>
      <c r="D8" s="25">
        <v>0</v>
      </c>
      <c r="E8" s="25">
        <v>4</v>
      </c>
      <c r="F8" s="21" t="s">
        <v>1154</v>
      </c>
      <c r="G8" s="25">
        <v>0</v>
      </c>
      <c r="H8" s="25"/>
    </row>
    <row r="9" spans="1:8" ht="15" x14ac:dyDescent="0.3">
      <c r="A9" s="33">
        <v>1050103</v>
      </c>
      <c r="B9" s="25" t="s">
        <v>1155</v>
      </c>
      <c r="C9" s="25">
        <v>1050002</v>
      </c>
      <c r="D9" s="25">
        <v>0</v>
      </c>
      <c r="E9" s="25">
        <v>5</v>
      </c>
      <c r="F9" s="21" t="s">
        <v>1156</v>
      </c>
      <c r="G9" s="25">
        <v>0</v>
      </c>
      <c r="H9" s="25"/>
    </row>
    <row r="10" spans="1:8" ht="15" x14ac:dyDescent="0.3">
      <c r="A10" s="33">
        <v>1050104</v>
      </c>
      <c r="B10" s="25" t="s">
        <v>1157</v>
      </c>
      <c r="C10" s="25">
        <v>1050102</v>
      </c>
      <c r="D10" s="25">
        <v>0</v>
      </c>
      <c r="E10" s="25">
        <v>6</v>
      </c>
      <c r="F10" s="21" t="s">
        <v>1158</v>
      </c>
      <c r="G10" s="25">
        <v>0</v>
      </c>
      <c r="H10" s="25"/>
    </row>
    <row r="11" spans="1:8" x14ac:dyDescent="0.25">
      <c r="A11" s="33">
        <v>1050105</v>
      </c>
      <c r="B11" s="25" t="s">
        <v>1159</v>
      </c>
      <c r="C11" s="25">
        <v>1050101</v>
      </c>
      <c r="D11" s="25">
        <v>0</v>
      </c>
      <c r="E11" s="25">
        <v>7</v>
      </c>
      <c r="F11" s="21" t="s">
        <v>1160</v>
      </c>
      <c r="G11" s="25">
        <v>0</v>
      </c>
      <c r="H11" s="25"/>
    </row>
    <row r="12" spans="1:8" ht="15" x14ac:dyDescent="0.25">
      <c r="A12" s="33">
        <v>1050106</v>
      </c>
      <c r="B12" s="25" t="s">
        <v>1161</v>
      </c>
      <c r="C12" s="25">
        <v>1050100</v>
      </c>
      <c r="D12" s="25">
        <v>0</v>
      </c>
      <c r="E12" s="25">
        <v>8</v>
      </c>
      <c r="F12" s="34" t="s">
        <v>1162</v>
      </c>
      <c r="G12" s="25">
        <v>0</v>
      </c>
      <c r="H12" s="25"/>
    </row>
    <row r="13" spans="1:8" ht="28.8" x14ac:dyDescent="0.25">
      <c r="A13" s="33">
        <v>1050107</v>
      </c>
      <c r="B13" s="25" t="s">
        <v>1163</v>
      </c>
      <c r="C13" s="25">
        <v>1050100</v>
      </c>
      <c r="D13" s="25">
        <v>0</v>
      </c>
      <c r="E13" s="25">
        <v>9</v>
      </c>
      <c r="F13" s="21" t="s">
        <v>1164</v>
      </c>
      <c r="G13" s="25">
        <v>0</v>
      </c>
      <c r="H13" s="25"/>
    </row>
    <row r="14" spans="1:8" ht="18" customHeight="1" x14ac:dyDescent="0.25">
      <c r="A14" s="25"/>
      <c r="B14" s="25"/>
      <c r="C14" s="25"/>
      <c r="D14" s="25"/>
      <c r="E14" s="25"/>
      <c r="F14" s="25"/>
      <c r="G14" s="25"/>
      <c r="H14" s="25"/>
    </row>
  </sheetData>
  <phoneticPr fontId="2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2"/>
  <sheetViews>
    <sheetView tabSelected="1" topLeftCell="A33" zoomScale="85" zoomScaleNormal="85" workbookViewId="0">
      <selection activeCell="D46" sqref="D46"/>
    </sheetView>
  </sheetViews>
  <sheetFormatPr defaultColWidth="8.88671875" defaultRowHeight="14.4" x14ac:dyDescent="0.25"/>
  <cols>
    <col min="1" max="1" width="7.5546875" style="15" customWidth="1"/>
    <col min="2" max="2" width="18.33203125" style="15" customWidth="1"/>
    <col min="3" max="3" width="18.33203125" style="11" customWidth="1"/>
    <col min="4" max="4" width="40.21875" style="15" customWidth="1"/>
    <col min="5" max="5" width="7.6640625" style="15" customWidth="1"/>
    <col min="6" max="6" width="18.88671875" style="15" customWidth="1"/>
    <col min="7" max="7" width="17.5546875" style="15" customWidth="1"/>
    <col min="8" max="8" width="8.88671875" style="15" hidden="1" customWidth="1"/>
    <col min="9" max="9" width="48.77734375" style="15" customWidth="1"/>
    <col min="10" max="10" width="28.44140625" style="12" customWidth="1"/>
    <col min="11" max="11" width="29.6640625" style="15" customWidth="1"/>
    <col min="12" max="12" width="7.5546875" style="15" customWidth="1"/>
  </cols>
  <sheetData>
    <row r="1" spans="1:12" x14ac:dyDescent="0.25">
      <c r="A1" s="3" t="s">
        <v>1165</v>
      </c>
      <c r="B1" s="3" t="s">
        <v>1166</v>
      </c>
      <c r="C1" s="4" t="s">
        <v>1167</v>
      </c>
      <c r="D1" s="3" t="s">
        <v>1169</v>
      </c>
      <c r="E1" s="3" t="s">
        <v>1171</v>
      </c>
      <c r="F1" s="3" t="s">
        <v>1172</v>
      </c>
      <c r="G1" s="3" t="s">
        <v>1173</v>
      </c>
      <c r="H1" s="15" t="s">
        <v>1174</v>
      </c>
      <c r="I1" s="15" t="s">
        <v>1175</v>
      </c>
      <c r="J1" s="90" t="s">
        <v>1168</v>
      </c>
      <c r="K1" s="90" t="s">
        <v>1170</v>
      </c>
      <c r="L1" s="3"/>
    </row>
    <row r="2" spans="1:12" x14ac:dyDescent="0.25">
      <c r="A2" s="7" t="s">
        <v>13</v>
      </c>
      <c r="B2" s="7" t="s">
        <v>14</v>
      </c>
      <c r="C2" s="8" t="s">
        <v>1176</v>
      </c>
      <c r="D2" s="7" t="s">
        <v>1177</v>
      </c>
      <c r="E2" s="7" t="s">
        <v>12</v>
      </c>
      <c r="F2" s="7" t="s">
        <v>1178</v>
      </c>
      <c r="G2" s="7" t="s">
        <v>16</v>
      </c>
      <c r="H2" s="15" t="s">
        <v>1179</v>
      </c>
      <c r="J2" s="90" t="s">
        <v>693</v>
      </c>
      <c r="K2" s="90" t="s">
        <v>270</v>
      </c>
      <c r="L2" s="7"/>
    </row>
    <row r="3" spans="1:12" ht="15.6" x14ac:dyDescent="0.25">
      <c r="A3" s="9">
        <v>100101</v>
      </c>
      <c r="B3" s="10" t="s">
        <v>1180</v>
      </c>
      <c r="C3" s="11">
        <v>95410101</v>
      </c>
      <c r="D3" s="13" t="str">
        <f>VLOOKUP(B3,三才书属性加成!$B:$D,3,0)</f>
        <v>装配此卷的角色持单手轻刃、扇法时外功和内功攻击额外提升5%。</v>
      </c>
      <c r="E3" s="9" t="s">
        <v>1183</v>
      </c>
      <c r="F3" s="15">
        <v>1</v>
      </c>
      <c r="G3" s="15">
        <v>1001</v>
      </c>
      <c r="I3" s="13" t="s">
        <v>1184</v>
      </c>
      <c r="J3" s="92">
        <v>0</v>
      </c>
      <c r="K3" s="91" t="s">
        <v>1182</v>
      </c>
      <c r="L3" s="9">
        <f>A3</f>
        <v>100101</v>
      </c>
    </row>
    <row r="4" spans="1:12" ht="15.6" x14ac:dyDescent="0.25">
      <c r="A4" s="9">
        <v>100102</v>
      </c>
      <c r="B4" s="10" t="s">
        <v>1185</v>
      </c>
      <c r="C4" s="11">
        <v>95410102</v>
      </c>
      <c r="D4" s="13" t="str">
        <f>VLOOKUP(B4,三才书属性加成!$B:$D,3,0)</f>
        <v>装配此卷的角色持拳掌、腿脚时外功和内功攻击额外提升5%。</v>
      </c>
      <c r="E4" s="9" t="s">
        <v>1183</v>
      </c>
      <c r="F4" s="15">
        <v>1</v>
      </c>
      <c r="G4" s="15">
        <v>1001</v>
      </c>
      <c r="I4" s="13" t="s">
        <v>1187</v>
      </c>
      <c r="J4" s="93"/>
      <c r="K4" s="91" t="s">
        <v>1182</v>
      </c>
      <c r="L4" s="9">
        <f t="shared" ref="L4:L52" si="0">A4</f>
        <v>100102</v>
      </c>
    </row>
    <row r="5" spans="1:12" ht="15.6" x14ac:dyDescent="0.25">
      <c r="A5" s="9">
        <v>100103</v>
      </c>
      <c r="B5" s="10" t="s">
        <v>1188</v>
      </c>
      <c r="C5" s="11">
        <v>95410103</v>
      </c>
      <c r="D5" s="13" t="str">
        <f>VLOOKUP(B5,三才书属性加成!$B:$D,3,0)</f>
        <v>装配此卷的角色持重刃、长兵时外功和内功攻击额外提升5%。</v>
      </c>
      <c r="E5" s="9" t="s">
        <v>1183</v>
      </c>
      <c r="F5" s="15">
        <v>1</v>
      </c>
      <c r="G5" s="15">
        <v>1001</v>
      </c>
      <c r="I5" s="13" t="s">
        <v>1190</v>
      </c>
      <c r="J5" s="92">
        <v>0</v>
      </c>
      <c r="K5" s="91" t="s">
        <v>1182</v>
      </c>
      <c r="L5" s="9">
        <f t="shared" si="0"/>
        <v>100103</v>
      </c>
    </row>
    <row r="6" spans="1:12" ht="15.6" x14ac:dyDescent="0.25">
      <c r="A6" s="9">
        <v>100104</v>
      </c>
      <c r="B6" s="10" t="s">
        <v>1191</v>
      </c>
      <c r="C6" s="11">
        <v>95410104</v>
      </c>
      <c r="D6" s="13" t="str">
        <f>VLOOKUP(B6,三才书属性加成!$B:$D,3,0)</f>
        <v>装配此卷的角色持绳镖、软鞭时外功和内功攻击额外提升5%。</v>
      </c>
      <c r="E6" s="9" t="s">
        <v>1183</v>
      </c>
      <c r="F6" s="15">
        <v>1</v>
      </c>
      <c r="G6" s="15">
        <v>1001</v>
      </c>
      <c r="I6" s="13" t="s">
        <v>1193</v>
      </c>
      <c r="J6" s="92">
        <v>0</v>
      </c>
      <c r="K6" s="91" t="s">
        <v>1182</v>
      </c>
      <c r="L6" s="9">
        <f t="shared" si="0"/>
        <v>100104</v>
      </c>
    </row>
    <row r="7" spans="1:12" ht="15.6" x14ac:dyDescent="0.25">
      <c r="A7" s="9">
        <v>100105</v>
      </c>
      <c r="B7" s="10" t="s">
        <v>1194</v>
      </c>
      <c r="C7" s="11">
        <v>95410105</v>
      </c>
      <c r="D7" s="13" t="str">
        <f>VLOOKUP(B7,三才书属性加成!$B:$D,3,0)</f>
        <v>装配此卷的角色持暗器、火器、弓箭时外功和内功攻击额外提升5%。</v>
      </c>
      <c r="E7" s="9" t="s">
        <v>1183</v>
      </c>
      <c r="F7" s="15">
        <v>1</v>
      </c>
      <c r="G7" s="15">
        <v>1001</v>
      </c>
      <c r="I7" s="13" t="s">
        <v>1196</v>
      </c>
      <c r="J7" s="92">
        <v>0</v>
      </c>
      <c r="K7" s="91" t="s">
        <v>1182</v>
      </c>
      <c r="L7" s="9">
        <f t="shared" si="0"/>
        <v>100105</v>
      </c>
    </row>
    <row r="8" spans="1:12" ht="15.6" x14ac:dyDescent="0.25">
      <c r="A8" s="9">
        <v>100106</v>
      </c>
      <c r="B8" s="10" t="s">
        <v>1197</v>
      </c>
      <c r="C8" s="11">
        <v>95410106</v>
      </c>
      <c r="D8" s="13" t="str">
        <f>VLOOKUP(B8,三才书属性加成!$B:$D,3,0)</f>
        <v>装配此卷的角色持双手轻刃、短兵时外功和内功攻击额外提升5%。</v>
      </c>
      <c r="E8" s="9" t="s">
        <v>1183</v>
      </c>
      <c r="F8" s="15">
        <v>1</v>
      </c>
      <c r="G8" s="15">
        <v>1001</v>
      </c>
      <c r="I8" s="13" t="s">
        <v>1199</v>
      </c>
      <c r="J8" s="92">
        <v>0</v>
      </c>
      <c r="K8" s="91" t="s">
        <v>1182</v>
      </c>
      <c r="L8" s="9">
        <f t="shared" si="0"/>
        <v>100106</v>
      </c>
    </row>
    <row r="9" spans="1:12" ht="15.6" x14ac:dyDescent="0.25">
      <c r="A9" s="9">
        <v>100107</v>
      </c>
      <c r="B9" s="10" t="s">
        <v>1200</v>
      </c>
      <c r="C9" s="11">
        <v>95410107</v>
      </c>
      <c r="D9" s="13" t="str">
        <f>VLOOKUP(B9,三才书属性加成!$B:$D,3,0)</f>
        <v>装配此卷的角色施展拳掌、腿脚的相关武学时，将获得额外5%外功和内功攻击的提升。</v>
      </c>
      <c r="E9" s="9" t="s">
        <v>1183</v>
      </c>
      <c r="F9" s="15">
        <v>1</v>
      </c>
      <c r="G9" s="15">
        <v>1002</v>
      </c>
      <c r="I9" s="13" t="s">
        <v>1202</v>
      </c>
      <c r="J9" s="92">
        <v>0</v>
      </c>
      <c r="K9" s="91" t="s">
        <v>1182</v>
      </c>
      <c r="L9" s="9">
        <f t="shared" si="0"/>
        <v>100107</v>
      </c>
    </row>
    <row r="10" spans="1:12" ht="15.6" x14ac:dyDescent="0.25">
      <c r="A10" s="9">
        <v>100108</v>
      </c>
      <c r="B10" s="10" t="s">
        <v>1203</v>
      </c>
      <c r="C10" s="11">
        <v>95410108</v>
      </c>
      <c r="D10" s="13" t="str">
        <f>VLOOKUP(B10,三才书属性加成!$B:$D,3,0)</f>
        <v>装配此卷的角色施展单手轻刃、扇法的相关武学时，将获得额外5%外功和内功攻击的提升。</v>
      </c>
      <c r="E10" s="9" t="s">
        <v>1183</v>
      </c>
      <c r="F10" s="15">
        <v>1</v>
      </c>
      <c r="G10" s="15">
        <v>1002</v>
      </c>
      <c r="I10" s="13" t="s">
        <v>1205</v>
      </c>
      <c r="J10" s="92">
        <v>0</v>
      </c>
      <c r="K10" s="91" t="s">
        <v>1182</v>
      </c>
      <c r="L10" s="9">
        <f t="shared" si="0"/>
        <v>100108</v>
      </c>
    </row>
    <row r="11" spans="1:12" ht="15.6" x14ac:dyDescent="0.25">
      <c r="A11" s="9">
        <v>100109</v>
      </c>
      <c r="B11" s="10" t="s">
        <v>1206</v>
      </c>
      <c r="C11" s="11">
        <v>95410109</v>
      </c>
      <c r="D11" s="13" t="str">
        <f>VLOOKUP(B11,三才书属性加成!$B:$D,3,0)</f>
        <v>装配此卷的角色施展重剑、长兵的相关武学时，将获得额外5%外功和内功攻击的提升。</v>
      </c>
      <c r="E11" s="9" t="s">
        <v>1183</v>
      </c>
      <c r="F11" s="15">
        <v>1</v>
      </c>
      <c r="G11" s="15">
        <v>1002</v>
      </c>
      <c r="I11" s="13" t="s">
        <v>1208</v>
      </c>
      <c r="J11" s="92">
        <v>0</v>
      </c>
      <c r="K11" s="91" t="s">
        <v>1182</v>
      </c>
      <c r="L11" s="9">
        <f t="shared" si="0"/>
        <v>100109</v>
      </c>
    </row>
    <row r="12" spans="1:12" ht="15.6" x14ac:dyDescent="0.25">
      <c r="A12" s="9">
        <v>100110</v>
      </c>
      <c r="B12" s="10" t="s">
        <v>1209</v>
      </c>
      <c r="C12" s="11">
        <v>95410110</v>
      </c>
      <c r="D12" s="13" t="str">
        <f>VLOOKUP(B12,三才书属性加成!$B:$D,3,0)</f>
        <v>装配此卷的角色施展暗器、火器、弓箭的相关武学时，将获得额外5%外功和内功攻击的提升。</v>
      </c>
      <c r="E12" s="9" t="s">
        <v>1183</v>
      </c>
      <c r="F12" s="15">
        <v>1</v>
      </c>
      <c r="G12" s="15">
        <v>1002</v>
      </c>
      <c r="I12" s="13" t="s">
        <v>1211</v>
      </c>
      <c r="J12" s="92">
        <v>0</v>
      </c>
      <c r="K12" s="91" t="s">
        <v>1182</v>
      </c>
      <c r="L12" s="9">
        <f t="shared" si="0"/>
        <v>100110</v>
      </c>
    </row>
    <row r="13" spans="1:12" ht="15.6" x14ac:dyDescent="0.25">
      <c r="A13" s="9">
        <v>100111</v>
      </c>
      <c r="B13" s="10" t="s">
        <v>1212</v>
      </c>
      <c r="C13" s="11">
        <v>95410111</v>
      </c>
      <c r="D13" s="13" t="str">
        <f>VLOOKUP(B13,三才书属性加成!$B:$D,3,0)</f>
        <v>装配此卷的角色施展双手轻刃、短兵的相关武学时，将获得额外5%外功和内功攻击的提升。</v>
      </c>
      <c r="E13" s="9" t="s">
        <v>1183</v>
      </c>
      <c r="F13" s="15">
        <v>1</v>
      </c>
      <c r="G13" s="15">
        <v>1002</v>
      </c>
      <c r="I13" s="13" t="s">
        <v>1199</v>
      </c>
      <c r="J13" s="92">
        <v>0</v>
      </c>
      <c r="K13" s="91" t="s">
        <v>1182</v>
      </c>
      <c r="L13" s="9">
        <f t="shared" si="0"/>
        <v>100111</v>
      </c>
    </row>
    <row r="14" spans="1:12" ht="15.6" x14ac:dyDescent="0.25">
      <c r="A14" s="9">
        <v>100112</v>
      </c>
      <c r="B14" s="10" t="s">
        <v>1214</v>
      </c>
      <c r="C14" s="11">
        <v>95410112</v>
      </c>
      <c r="D14" s="13" t="str">
        <f>VLOOKUP(B14,三才书属性加成!$B:$D,3,0)</f>
        <v>装配此卷的角色施展绳镖、软鞭的相关武学时，将获得额外5%外功和内功攻击的提升。</v>
      </c>
      <c r="E14" s="9" t="s">
        <v>1183</v>
      </c>
      <c r="F14" s="15">
        <v>1</v>
      </c>
      <c r="G14" s="15">
        <v>1002</v>
      </c>
      <c r="I14" s="13" t="s">
        <v>1216</v>
      </c>
      <c r="J14" s="92">
        <v>0</v>
      </c>
      <c r="K14" s="91" t="s">
        <v>1182</v>
      </c>
      <c r="L14" s="9">
        <f t="shared" si="0"/>
        <v>100112</v>
      </c>
    </row>
    <row r="15" spans="1:12" ht="15.6" x14ac:dyDescent="0.25">
      <c r="A15" s="9">
        <v>100113</v>
      </c>
      <c r="B15" s="10" t="s">
        <v>1217</v>
      </c>
      <c r="C15" s="11">
        <v>95410113</v>
      </c>
      <c r="D15" s="13" t="str">
        <f>VLOOKUP(B15,三才书属性加成!$B:$D,3,0)</f>
        <v>装配此卷的角色外功攻击提升5%，外功防御降低5%。</v>
      </c>
      <c r="E15" s="9" t="s">
        <v>1183</v>
      </c>
      <c r="F15" s="15">
        <v>1</v>
      </c>
      <c r="G15" s="15">
        <v>1003</v>
      </c>
      <c r="I15" s="13" t="s">
        <v>1219</v>
      </c>
      <c r="J15" s="92">
        <v>0</v>
      </c>
      <c r="K15" s="91" t="s">
        <v>1182</v>
      </c>
      <c r="L15" s="9">
        <f t="shared" si="0"/>
        <v>100113</v>
      </c>
    </row>
    <row r="16" spans="1:12" ht="15.6" x14ac:dyDescent="0.25">
      <c r="A16" s="9">
        <v>100114</v>
      </c>
      <c r="B16" s="10" t="s">
        <v>1220</v>
      </c>
      <c r="C16" s="11">
        <v>95410114</v>
      </c>
      <c r="D16" s="13" t="str">
        <f>VLOOKUP(B16,三才书属性加成!$B:$D,3,0)</f>
        <v>装配此卷的角色内功攻击提升5%，内功防御降低5%。</v>
      </c>
      <c r="E16" s="9" t="s">
        <v>1183</v>
      </c>
      <c r="F16" s="15">
        <v>1</v>
      </c>
      <c r="G16" s="15">
        <v>1003</v>
      </c>
      <c r="I16" s="13" t="s">
        <v>1222</v>
      </c>
      <c r="J16" s="92">
        <v>0</v>
      </c>
      <c r="K16" s="91" t="s">
        <v>1182</v>
      </c>
      <c r="L16" s="9">
        <f t="shared" si="0"/>
        <v>100114</v>
      </c>
    </row>
    <row r="17" spans="1:12" s="88" customFormat="1" ht="15.6" x14ac:dyDescent="0.25">
      <c r="A17" s="83">
        <v>100115</v>
      </c>
      <c r="B17" s="84" t="s">
        <v>1223</v>
      </c>
      <c r="C17" s="85">
        <v>95410115</v>
      </c>
      <c r="D17" s="87" t="str">
        <f>VLOOKUP(B17,三才书属性加成!$B:$D,3,0)</f>
        <v>装配此卷的角色气血恢复额外提升10%</v>
      </c>
      <c r="E17" s="83" t="s">
        <v>1183</v>
      </c>
      <c r="F17" s="86">
        <v>1</v>
      </c>
      <c r="G17" s="86">
        <v>1003</v>
      </c>
      <c r="H17" s="86"/>
      <c r="I17" s="87" t="s">
        <v>1225</v>
      </c>
      <c r="J17" s="92">
        <v>0</v>
      </c>
      <c r="K17" s="91" t="s">
        <v>1182</v>
      </c>
      <c r="L17" s="83">
        <f t="shared" si="0"/>
        <v>100115</v>
      </c>
    </row>
    <row r="18" spans="1:12" ht="15.6" x14ac:dyDescent="0.25">
      <c r="A18" s="9">
        <v>100116</v>
      </c>
      <c r="B18" s="10" t="s">
        <v>1226</v>
      </c>
      <c r="C18" s="11">
        <v>95410116</v>
      </c>
      <c r="D18" s="13" t="str">
        <f>VLOOKUP(B18,三才书属性加成!$B:$D,3,0)</f>
        <v>装配此卷的角色暴击率提升5%。</v>
      </c>
      <c r="E18" s="9" t="s">
        <v>1183</v>
      </c>
      <c r="F18" s="15">
        <v>1</v>
      </c>
      <c r="G18" s="15">
        <v>1004</v>
      </c>
      <c r="I18" s="13" t="s">
        <v>1228</v>
      </c>
      <c r="J18" s="92">
        <v>0</v>
      </c>
      <c r="K18" s="91" t="s">
        <v>1182</v>
      </c>
      <c r="L18" s="9">
        <f t="shared" si="0"/>
        <v>100116</v>
      </c>
    </row>
    <row r="19" spans="1:12" ht="15.6" x14ac:dyDescent="0.25">
      <c r="A19" s="9">
        <v>100117</v>
      </c>
      <c r="B19" s="10" t="s">
        <v>1229</v>
      </c>
      <c r="C19" s="11">
        <v>95410117</v>
      </c>
      <c r="D19" s="13" t="str">
        <f>VLOOKUP(B19,三才书属性加成!$B:$D,3,0)</f>
        <v>装配此卷的角色暴击伤害提升15%，暴击减免降低5%。</v>
      </c>
      <c r="E19" s="9" t="s">
        <v>1183</v>
      </c>
      <c r="F19" s="15">
        <v>1</v>
      </c>
      <c r="G19" s="15">
        <v>1004</v>
      </c>
      <c r="I19" s="17" t="s">
        <v>1231</v>
      </c>
      <c r="J19" s="92">
        <v>0</v>
      </c>
      <c r="K19" s="91" t="s">
        <v>1182</v>
      </c>
      <c r="L19" s="9">
        <f t="shared" si="0"/>
        <v>100117</v>
      </c>
    </row>
    <row r="20" spans="1:12" s="88" customFormat="1" ht="15.6" x14ac:dyDescent="0.25">
      <c r="A20" s="83">
        <v>100118</v>
      </c>
      <c r="B20" s="84" t="s">
        <v>1232</v>
      </c>
      <c r="C20" s="85">
        <v>95410118</v>
      </c>
      <c r="D20" s="87" t="str">
        <f>VLOOKUP(B20,三才书属性加成!$B:$D,3,0)</f>
        <v>装配此卷的角色暴击率提升5%，暴击伤害提升10%</v>
      </c>
      <c r="E20" s="83" t="s">
        <v>1183</v>
      </c>
      <c r="F20" s="86">
        <v>1</v>
      </c>
      <c r="G20" s="86">
        <v>1004</v>
      </c>
      <c r="H20" s="86"/>
      <c r="I20" s="87" t="s">
        <v>1234</v>
      </c>
      <c r="J20" s="92">
        <v>0</v>
      </c>
      <c r="K20" s="91" t="s">
        <v>1182</v>
      </c>
      <c r="L20" s="83">
        <f t="shared" si="0"/>
        <v>100118</v>
      </c>
    </row>
    <row r="21" spans="1:12" s="88" customFormat="1" ht="15.6" x14ac:dyDescent="0.25">
      <c r="A21" s="83">
        <v>100119</v>
      </c>
      <c r="B21" s="84" t="s">
        <v>1499</v>
      </c>
      <c r="C21" s="85">
        <v>95410119</v>
      </c>
      <c r="D21" s="87" t="str">
        <f>VLOOKUP(B21,三才书属性加成!$B:$D,3,0)</f>
        <v>装配此卷的角色攻击力提升3%，气血上限降低10%</v>
      </c>
      <c r="E21" s="83" t="s">
        <v>1183</v>
      </c>
      <c r="F21" s="86">
        <v>1</v>
      </c>
      <c r="G21" s="86">
        <v>1005</v>
      </c>
      <c r="H21" s="86"/>
      <c r="I21" s="89" t="s">
        <v>1237</v>
      </c>
      <c r="J21" s="92">
        <v>0</v>
      </c>
      <c r="K21" s="91" t="s">
        <v>1182</v>
      </c>
      <c r="L21" s="83">
        <f t="shared" si="0"/>
        <v>100119</v>
      </c>
    </row>
    <row r="22" spans="1:12" ht="15.6" x14ac:dyDescent="0.25">
      <c r="A22" s="9">
        <v>100120</v>
      </c>
      <c r="B22" s="10" t="s">
        <v>1238</v>
      </c>
      <c r="C22" s="11">
        <v>95410120</v>
      </c>
      <c r="D22" s="13" t="str">
        <f>VLOOKUP(B22,三才书属性加成!$B:$D,3,0)</f>
        <v>装配此卷的角色吸血提升5%。</v>
      </c>
      <c r="E22" s="9" t="s">
        <v>1183</v>
      </c>
      <c r="F22" s="15">
        <v>1</v>
      </c>
      <c r="G22" s="15">
        <v>1005</v>
      </c>
      <c r="I22" s="13" t="s">
        <v>1240</v>
      </c>
      <c r="J22" s="92">
        <v>0</v>
      </c>
      <c r="K22" s="91" t="s">
        <v>1182</v>
      </c>
      <c r="L22" s="9">
        <f t="shared" si="0"/>
        <v>100120</v>
      </c>
    </row>
    <row r="23" spans="1:12" ht="15.6" x14ac:dyDescent="0.25">
      <c r="A23" s="9">
        <v>100121</v>
      </c>
      <c r="B23" s="10" t="s">
        <v>1241</v>
      </c>
      <c r="C23" s="11">
        <v>95410121</v>
      </c>
      <c r="D23" s="13" t="str">
        <f>VLOOKUP(B23,三才书属性加成!$B:$D,3,0)</f>
        <v>装配此卷的角色内功防御与外功防御皆提升5%。</v>
      </c>
      <c r="E23" s="9" t="s">
        <v>1243</v>
      </c>
      <c r="F23" s="15">
        <v>2</v>
      </c>
      <c r="G23" s="15">
        <v>2001</v>
      </c>
      <c r="I23" s="13" t="s">
        <v>1244</v>
      </c>
      <c r="J23" s="92">
        <v>0</v>
      </c>
      <c r="K23" s="91" t="s">
        <v>1182</v>
      </c>
      <c r="L23" s="9">
        <f t="shared" si="0"/>
        <v>100121</v>
      </c>
    </row>
    <row r="24" spans="1:12" s="88" customFormat="1" ht="15.6" x14ac:dyDescent="0.25">
      <c r="A24" s="83">
        <v>100122</v>
      </c>
      <c r="B24" s="84" t="s">
        <v>1245</v>
      </c>
      <c r="C24" s="85">
        <v>95410122</v>
      </c>
      <c r="D24" s="87" t="str">
        <f>VLOOKUP(B24,三才书属性加成!$B:$D,3,0)</f>
        <v>装配此卷的角色体力恢复额外提升20%</v>
      </c>
      <c r="E24" s="83" t="s">
        <v>1243</v>
      </c>
      <c r="F24" s="86">
        <v>2</v>
      </c>
      <c r="G24" s="86">
        <v>2001</v>
      </c>
      <c r="H24" s="86"/>
      <c r="I24" s="87" t="s">
        <v>1247</v>
      </c>
      <c r="J24" s="92">
        <v>0</v>
      </c>
      <c r="K24" s="91" t="s">
        <v>1182</v>
      </c>
      <c r="L24" s="83">
        <f t="shared" si="0"/>
        <v>100122</v>
      </c>
    </row>
    <row r="25" spans="1:12" s="88" customFormat="1" ht="15.6" x14ac:dyDescent="0.25">
      <c r="A25" s="83">
        <v>100123</v>
      </c>
      <c r="B25" s="84" t="s">
        <v>1248</v>
      </c>
      <c r="C25" s="85">
        <v>95410123</v>
      </c>
      <c r="D25" s="87" t="str">
        <f>VLOOKUP(B25,三才书属性加成!$B:$D,3,0)</f>
        <v>装配此卷的角色外功防御提升15%，外功攻击降低10%</v>
      </c>
      <c r="E25" s="83" t="s">
        <v>1243</v>
      </c>
      <c r="F25" s="86">
        <v>2</v>
      </c>
      <c r="G25" s="86">
        <v>2002</v>
      </c>
      <c r="H25" s="86"/>
      <c r="I25" s="87" t="s">
        <v>1250</v>
      </c>
      <c r="J25" s="92">
        <v>0</v>
      </c>
      <c r="K25" s="91" t="s">
        <v>1182</v>
      </c>
      <c r="L25" s="83">
        <f t="shared" si="0"/>
        <v>100123</v>
      </c>
    </row>
    <row r="26" spans="1:12" s="88" customFormat="1" ht="15.6" x14ac:dyDescent="0.25">
      <c r="A26" s="83">
        <v>100124</v>
      </c>
      <c r="B26" s="84" t="s">
        <v>1251</v>
      </c>
      <c r="C26" s="85">
        <v>95410124</v>
      </c>
      <c r="D26" s="87" t="str">
        <f>VLOOKUP(B26,三才书属性加成!$B:$D,3,0)</f>
        <v>装配此卷的角色内功防御提升15%，内功攻击降低10%</v>
      </c>
      <c r="E26" s="83" t="s">
        <v>1243</v>
      </c>
      <c r="F26" s="86">
        <v>2</v>
      </c>
      <c r="G26" s="86">
        <v>2002</v>
      </c>
      <c r="H26" s="86"/>
      <c r="I26" s="87" t="s">
        <v>1253</v>
      </c>
      <c r="J26" s="92">
        <v>0</v>
      </c>
      <c r="K26" s="91" t="s">
        <v>1182</v>
      </c>
      <c r="L26" s="83">
        <f t="shared" si="0"/>
        <v>100124</v>
      </c>
    </row>
    <row r="27" spans="1:12" ht="15.6" x14ac:dyDescent="0.25">
      <c r="A27" s="9">
        <v>100125</v>
      </c>
      <c r="B27" s="10" t="s">
        <v>1254</v>
      </c>
      <c r="C27" s="11">
        <v>95410125</v>
      </c>
      <c r="D27" s="13" t="str">
        <f>VLOOKUP(B27,三才书属性加成!$B:$D,3,0)</f>
        <v>装配此卷的角色暴击减免提升10%。</v>
      </c>
      <c r="E27" s="9" t="s">
        <v>1243</v>
      </c>
      <c r="F27" s="15">
        <v>2</v>
      </c>
      <c r="G27" s="15">
        <v>2002</v>
      </c>
      <c r="I27" s="13" t="s">
        <v>1256</v>
      </c>
      <c r="J27" s="92">
        <v>0</v>
      </c>
      <c r="K27" s="91" t="s">
        <v>1182</v>
      </c>
      <c r="L27" s="9">
        <f t="shared" si="0"/>
        <v>100125</v>
      </c>
    </row>
    <row r="28" spans="1:12" ht="15.6" x14ac:dyDescent="0.25">
      <c r="A28" s="9">
        <v>100126</v>
      </c>
      <c r="B28" s="10" t="s">
        <v>1257</v>
      </c>
      <c r="C28" s="11">
        <v>95410126</v>
      </c>
      <c r="D28" s="13" t="str">
        <f>VLOOKUP(B28,三才书属性加成!$B:$D,3,0)</f>
        <v>装配此卷的角色内功防御提升10%。</v>
      </c>
      <c r="E28" s="9" t="s">
        <v>1243</v>
      </c>
      <c r="F28" s="15">
        <v>2</v>
      </c>
      <c r="G28" s="15">
        <v>2003</v>
      </c>
      <c r="I28" s="13" t="s">
        <v>1259</v>
      </c>
      <c r="J28" s="92">
        <v>0</v>
      </c>
      <c r="K28" s="91" t="s">
        <v>1182</v>
      </c>
      <c r="L28" s="9">
        <f t="shared" si="0"/>
        <v>100126</v>
      </c>
    </row>
    <row r="29" spans="1:12" ht="15.6" x14ac:dyDescent="0.25">
      <c r="A29" s="9">
        <v>100127</v>
      </c>
      <c r="B29" s="10" t="s">
        <v>1260</v>
      </c>
      <c r="C29" s="11">
        <v>95410127</v>
      </c>
      <c r="D29" s="13" t="str">
        <f>VLOOKUP(B29,三才书属性加成!$B:$D,3,0)</f>
        <v>装配此卷的角色免暴提升10%。</v>
      </c>
      <c r="E29" s="9" t="s">
        <v>1243</v>
      </c>
      <c r="F29" s="15">
        <v>2</v>
      </c>
      <c r="G29" s="15">
        <v>2003</v>
      </c>
      <c r="I29" s="13" t="s">
        <v>1262</v>
      </c>
      <c r="J29" s="92">
        <v>0</v>
      </c>
      <c r="K29" s="91" t="s">
        <v>1182</v>
      </c>
      <c r="L29" s="9">
        <f t="shared" si="0"/>
        <v>100127</v>
      </c>
    </row>
    <row r="30" spans="1:12" ht="15.6" x14ac:dyDescent="0.25">
      <c r="A30" s="9">
        <v>100128</v>
      </c>
      <c r="B30" s="10" t="s">
        <v>1263</v>
      </c>
      <c r="C30" s="11">
        <v>95410128</v>
      </c>
      <c r="D30" s="13" t="str">
        <f>VLOOKUP(B30,三才书属性加成!$B:$D,3,0)</f>
        <v>装配此卷的角色暴击减免提升10%。</v>
      </c>
      <c r="E30" s="9" t="s">
        <v>1243</v>
      </c>
      <c r="F30" s="15">
        <v>2</v>
      </c>
      <c r="G30" s="15">
        <v>2004</v>
      </c>
      <c r="I30" s="13" t="s">
        <v>1265</v>
      </c>
      <c r="J30" s="92">
        <v>0</v>
      </c>
      <c r="K30" s="91" t="s">
        <v>1182</v>
      </c>
      <c r="L30" s="9">
        <f t="shared" si="0"/>
        <v>100128</v>
      </c>
    </row>
    <row r="31" spans="1:12" ht="15.6" x14ac:dyDescent="0.25">
      <c r="A31" s="9">
        <v>100129</v>
      </c>
      <c r="B31" s="10" t="s">
        <v>1266</v>
      </c>
      <c r="C31" s="11">
        <v>95410129</v>
      </c>
      <c r="D31" s="13" t="str">
        <f>VLOOKUP(B31,三才书属性加成!$B:$D,3,0)</f>
        <v>装配此卷的角色气血上限提升10%。</v>
      </c>
      <c r="E31" s="9" t="s">
        <v>1243</v>
      </c>
      <c r="F31" s="15">
        <v>2</v>
      </c>
      <c r="G31" s="15">
        <v>2004</v>
      </c>
      <c r="I31" s="13" t="s">
        <v>1268</v>
      </c>
      <c r="J31" s="92">
        <v>0</v>
      </c>
      <c r="K31" s="91" t="s">
        <v>1182</v>
      </c>
      <c r="L31" s="9">
        <f t="shared" si="0"/>
        <v>100129</v>
      </c>
    </row>
    <row r="32" spans="1:12" s="88" customFormat="1" ht="15.6" x14ac:dyDescent="0.25">
      <c r="A32" s="83">
        <v>100130</v>
      </c>
      <c r="B32" s="84" t="s">
        <v>1269</v>
      </c>
      <c r="C32" s="85">
        <v>95410130</v>
      </c>
      <c r="D32" s="87" t="str">
        <f>VLOOKUP(B32,三才书属性加成!$B:$D,3,0)</f>
        <v>装配此卷的角色气血上限增加5%，气血恢复降低5%</v>
      </c>
      <c r="E32" s="83" t="s">
        <v>1243</v>
      </c>
      <c r="F32" s="86">
        <v>2</v>
      </c>
      <c r="G32" s="86">
        <v>2005</v>
      </c>
      <c r="H32" s="86"/>
      <c r="I32" s="87" t="s">
        <v>1271</v>
      </c>
      <c r="J32" s="92">
        <v>0</v>
      </c>
      <c r="K32" s="91" t="s">
        <v>1182</v>
      </c>
      <c r="L32" s="83">
        <f t="shared" si="0"/>
        <v>100130</v>
      </c>
    </row>
    <row r="33" spans="1:12" ht="15.6" x14ac:dyDescent="0.25">
      <c r="A33" s="9">
        <v>100131</v>
      </c>
      <c r="B33" s="10" t="s">
        <v>1272</v>
      </c>
      <c r="C33" s="11">
        <v>95410131</v>
      </c>
      <c r="D33" s="13" t="str">
        <f>VLOOKUP(B33,三才书属性加成!$B:$D,3,0)</f>
        <v>装配此卷的角色外功防御提升10%。</v>
      </c>
      <c r="E33" s="9" t="s">
        <v>1243</v>
      </c>
      <c r="F33" s="15">
        <v>2</v>
      </c>
      <c r="G33" s="15">
        <v>2005</v>
      </c>
      <c r="I33" s="13" t="s">
        <v>1274</v>
      </c>
      <c r="J33" s="92">
        <v>0</v>
      </c>
      <c r="K33" s="91" t="s">
        <v>1182</v>
      </c>
      <c r="L33" s="9">
        <f t="shared" si="0"/>
        <v>100131</v>
      </c>
    </row>
    <row r="34" spans="1:12" ht="15.6" x14ac:dyDescent="0.25">
      <c r="A34" s="9">
        <v>100132</v>
      </c>
      <c r="B34" s="10" t="s">
        <v>1275</v>
      </c>
      <c r="C34" s="11">
        <v>95410132</v>
      </c>
      <c r="D34" s="13" t="str">
        <f>VLOOKUP(B34,三才书属性加成!$B:$D,3,0)</f>
        <v>装配此卷的角色反伤提升5%。</v>
      </c>
      <c r="E34" s="9" t="s">
        <v>1243</v>
      </c>
      <c r="F34" s="15">
        <v>2</v>
      </c>
      <c r="G34" s="15">
        <v>2005</v>
      </c>
      <c r="I34" s="13" t="s">
        <v>1277</v>
      </c>
      <c r="J34" s="92">
        <v>0</v>
      </c>
      <c r="K34" s="91" t="s">
        <v>1182</v>
      </c>
      <c r="L34" s="9">
        <f t="shared" si="0"/>
        <v>100132</v>
      </c>
    </row>
    <row r="35" spans="1:12" ht="15.6" x14ac:dyDescent="0.25">
      <c r="A35" s="9">
        <v>100133</v>
      </c>
      <c r="B35" s="10" t="s">
        <v>1278</v>
      </c>
      <c r="C35" s="11">
        <v>95410133</v>
      </c>
      <c r="D35" s="13" t="str">
        <f>VLOOKUP(B35,三才书属性加成!$B:$D,3,0)</f>
        <v>装配此卷的角色体力上限提升10%。</v>
      </c>
      <c r="E35" s="9" t="s">
        <v>1243</v>
      </c>
      <c r="F35" s="15">
        <v>2</v>
      </c>
      <c r="G35" s="15">
        <v>2005</v>
      </c>
      <c r="I35" s="13" t="s">
        <v>1280</v>
      </c>
      <c r="J35" s="92">
        <v>0</v>
      </c>
      <c r="K35" s="91" t="s">
        <v>1182</v>
      </c>
      <c r="L35" s="9">
        <f t="shared" si="0"/>
        <v>100133</v>
      </c>
    </row>
    <row r="36" spans="1:12" ht="15.6" x14ac:dyDescent="0.25">
      <c r="A36" s="9">
        <v>100134</v>
      </c>
      <c r="B36" s="10" t="s">
        <v>1281</v>
      </c>
      <c r="C36" s="11">
        <v>95410134</v>
      </c>
      <c r="D36" s="13" t="str">
        <f>VLOOKUP(B36,三才书属性加成!$B:$D,3,0)</f>
        <v>装配此卷的角色单手轻刃、扇法的相关武学时，将获得暴击率提升5%。</v>
      </c>
      <c r="E36" s="9" t="s">
        <v>1283</v>
      </c>
      <c r="F36" s="15">
        <v>3</v>
      </c>
      <c r="G36" s="15">
        <v>3001</v>
      </c>
      <c r="I36" s="13" t="s">
        <v>1284</v>
      </c>
      <c r="J36" s="92">
        <v>0</v>
      </c>
      <c r="K36" s="91" t="s">
        <v>1182</v>
      </c>
      <c r="L36" s="9">
        <f t="shared" si="0"/>
        <v>100134</v>
      </c>
    </row>
    <row r="37" spans="1:12" ht="15.6" x14ac:dyDescent="0.25">
      <c r="A37" s="9">
        <v>100135</v>
      </c>
      <c r="B37" s="10" t="s">
        <v>1285</v>
      </c>
      <c r="C37" s="11">
        <v>95410135</v>
      </c>
      <c r="D37" s="13" t="str">
        <f>VLOOKUP(B37,三才书属性加成!$B:$D,3,0)</f>
        <v>装配此卷的角色拳掌、腿脚的相关武学时，将获得暴击率提升5%。</v>
      </c>
      <c r="E37" s="9" t="s">
        <v>1283</v>
      </c>
      <c r="F37" s="15">
        <v>3</v>
      </c>
      <c r="G37" s="15">
        <v>3001</v>
      </c>
      <c r="I37" s="13" t="s">
        <v>1287</v>
      </c>
      <c r="J37" s="92">
        <v>0</v>
      </c>
      <c r="K37" s="91" t="s">
        <v>1182</v>
      </c>
      <c r="L37" s="9">
        <f t="shared" si="0"/>
        <v>100135</v>
      </c>
    </row>
    <row r="38" spans="1:12" ht="15.6" x14ac:dyDescent="0.25">
      <c r="A38" s="9">
        <v>100136</v>
      </c>
      <c r="B38" s="10" t="s">
        <v>1288</v>
      </c>
      <c r="C38" s="11">
        <v>95410136</v>
      </c>
      <c r="D38" s="13" t="str">
        <f>VLOOKUP(B38,三才书属性加成!$B:$D,3,0)</f>
        <v>装配此卷的角色重刃、长兵的相关武学时，将获得暴击率提升5%。</v>
      </c>
      <c r="E38" s="9" t="s">
        <v>1283</v>
      </c>
      <c r="F38" s="15">
        <v>3</v>
      </c>
      <c r="G38" s="15">
        <v>3001</v>
      </c>
      <c r="I38" s="13" t="s">
        <v>1290</v>
      </c>
      <c r="J38" s="92">
        <v>0</v>
      </c>
      <c r="K38" s="91" t="s">
        <v>1182</v>
      </c>
      <c r="L38" s="9">
        <f t="shared" si="0"/>
        <v>100136</v>
      </c>
    </row>
    <row r="39" spans="1:12" ht="15.6" x14ac:dyDescent="0.25">
      <c r="A39" s="9">
        <v>100137</v>
      </c>
      <c r="B39" s="10" t="s">
        <v>1291</v>
      </c>
      <c r="C39" s="11">
        <v>95410137</v>
      </c>
      <c r="D39" s="13" t="str">
        <f>VLOOKUP(B39,三才书属性加成!$B:$D,3,0)</f>
        <v>装配此卷的角色双手轻刃、短兵的相关武学时，将获得暴击率提升5%。</v>
      </c>
      <c r="E39" s="9" t="s">
        <v>1283</v>
      </c>
      <c r="F39" s="15">
        <v>3</v>
      </c>
      <c r="G39" s="15">
        <v>3001</v>
      </c>
      <c r="I39" s="13" t="s">
        <v>1199</v>
      </c>
      <c r="J39" s="92">
        <v>0</v>
      </c>
      <c r="K39" s="91" t="s">
        <v>1182</v>
      </c>
      <c r="L39" s="9">
        <f t="shared" si="0"/>
        <v>100137</v>
      </c>
    </row>
    <row r="40" spans="1:12" ht="15.6" x14ac:dyDescent="0.25">
      <c r="A40" s="9">
        <v>100138</v>
      </c>
      <c r="B40" s="10" t="s">
        <v>1293</v>
      </c>
      <c r="C40" s="11">
        <v>95410138</v>
      </c>
      <c r="D40" s="13" t="str">
        <f>VLOOKUP(B40,三才书属性加成!$B:$D,3,0)</f>
        <v>装配此卷的角色暗器、火器、弓箭的相关武学时，将获得暴击率提升5%。</v>
      </c>
      <c r="E40" s="9" t="s">
        <v>1283</v>
      </c>
      <c r="F40" s="15">
        <v>3</v>
      </c>
      <c r="G40" s="15">
        <v>3001</v>
      </c>
      <c r="I40" s="13" t="s">
        <v>1295</v>
      </c>
      <c r="J40" s="92">
        <v>0</v>
      </c>
      <c r="K40" s="91" t="s">
        <v>1182</v>
      </c>
      <c r="L40" s="9">
        <f t="shared" si="0"/>
        <v>100138</v>
      </c>
    </row>
    <row r="41" spans="1:12" ht="15.6" x14ac:dyDescent="0.25">
      <c r="A41" s="9">
        <v>100139</v>
      </c>
      <c r="B41" s="10" t="s">
        <v>1296</v>
      </c>
      <c r="C41" s="11">
        <v>95410139</v>
      </c>
      <c r="D41" s="13" t="str">
        <f>VLOOKUP(B41,三才书属性加成!$B:$D,3,0)</f>
        <v>装配此卷的角色软鞭、绳镖的相关武学时，将获得暴击率提升5%。</v>
      </c>
      <c r="E41" s="9" t="s">
        <v>1283</v>
      </c>
      <c r="F41" s="15">
        <v>3</v>
      </c>
      <c r="G41" s="15">
        <v>3001</v>
      </c>
      <c r="I41" s="13" t="s">
        <v>1298</v>
      </c>
      <c r="J41" s="92">
        <v>0</v>
      </c>
      <c r="K41" s="91" t="s">
        <v>1182</v>
      </c>
      <c r="L41" s="9">
        <f t="shared" si="0"/>
        <v>100139</v>
      </c>
    </row>
    <row r="42" spans="1:12" s="88" customFormat="1" ht="15.6" x14ac:dyDescent="0.25">
      <c r="A42" s="83">
        <v>100140</v>
      </c>
      <c r="B42" s="84" t="s">
        <v>1299</v>
      </c>
      <c r="C42" s="85">
        <v>95410140</v>
      </c>
      <c r="D42" s="87" t="str">
        <f>VLOOKUP(B42,三才书属性加成!$B:$D,3,0)</f>
        <v>装配此卷的角色反伤提升10%，移动速度降低50</v>
      </c>
      <c r="E42" s="83" t="s">
        <v>1283</v>
      </c>
      <c r="F42" s="86">
        <v>3</v>
      </c>
      <c r="G42" s="86">
        <v>3002</v>
      </c>
      <c r="H42" s="86"/>
      <c r="I42" s="87" t="s">
        <v>1301</v>
      </c>
      <c r="J42" s="92">
        <v>0</v>
      </c>
      <c r="K42" s="91" t="s">
        <v>1182</v>
      </c>
      <c r="L42" s="83">
        <f t="shared" si="0"/>
        <v>100140</v>
      </c>
    </row>
    <row r="43" spans="1:12" ht="15.6" x14ac:dyDescent="0.25">
      <c r="A43" s="9">
        <v>100141</v>
      </c>
      <c r="B43" s="10" t="s">
        <v>1302</v>
      </c>
      <c r="C43" s="11">
        <v>95410141</v>
      </c>
      <c r="D43" s="13" t="str">
        <f>VLOOKUP(B43,三才书属性加成!$B:$D,3,0)</f>
        <v>装配此卷的角色获得的修为值额外提升10%，仅主角可生效。</v>
      </c>
      <c r="E43" s="9" t="s">
        <v>1283</v>
      </c>
      <c r="F43" s="15">
        <v>3</v>
      </c>
      <c r="G43" s="15">
        <v>3002</v>
      </c>
      <c r="I43" s="13" t="s">
        <v>1304</v>
      </c>
      <c r="J43" s="92">
        <v>0</v>
      </c>
      <c r="K43" s="91" t="s">
        <v>1182</v>
      </c>
      <c r="L43" s="9">
        <f t="shared" si="0"/>
        <v>100141</v>
      </c>
    </row>
    <row r="44" spans="1:12" ht="15.6" x14ac:dyDescent="0.25">
      <c r="A44" s="9">
        <v>100142</v>
      </c>
      <c r="B44" s="10" t="s">
        <v>1305</v>
      </c>
      <c r="C44" s="11">
        <v>95410142</v>
      </c>
      <c r="D44" s="13" t="str">
        <f>VLOOKUP(B44,三才书属性加成!$B:$D,3,0)</f>
        <v>装配此卷的角色提升30点移动速度。</v>
      </c>
      <c r="E44" s="9" t="s">
        <v>1283</v>
      </c>
      <c r="F44" s="15">
        <v>3</v>
      </c>
      <c r="G44" s="15">
        <v>3002</v>
      </c>
      <c r="I44" s="13" t="s">
        <v>1307</v>
      </c>
      <c r="J44" s="92">
        <v>0</v>
      </c>
      <c r="K44" s="91" t="s">
        <v>1182</v>
      </c>
      <c r="L44" s="9">
        <f t="shared" si="0"/>
        <v>100142</v>
      </c>
    </row>
    <row r="45" spans="1:12" ht="15.6" x14ac:dyDescent="0.25">
      <c r="A45" s="9">
        <v>100143</v>
      </c>
      <c r="B45" s="10" t="s">
        <v>1308</v>
      </c>
      <c r="C45" s="11">
        <v>95410143</v>
      </c>
      <c r="D45" s="13" t="str">
        <f>VLOOKUP(B45,三才书属性加成!$B:$D,3,0)</f>
        <v>装配此卷的角色气血恢复属性提升10%。</v>
      </c>
      <c r="E45" s="9" t="s">
        <v>1283</v>
      </c>
      <c r="F45" s="15">
        <v>3</v>
      </c>
      <c r="G45" s="15">
        <v>3003</v>
      </c>
      <c r="I45" s="13" t="s">
        <v>1310</v>
      </c>
      <c r="J45" s="92">
        <v>0</v>
      </c>
      <c r="K45" s="91" t="s">
        <v>1182</v>
      </c>
      <c r="L45" s="9">
        <f t="shared" si="0"/>
        <v>100143</v>
      </c>
    </row>
    <row r="46" spans="1:12" ht="15.6" x14ac:dyDescent="0.25">
      <c r="A46" s="9">
        <v>100144</v>
      </c>
      <c r="B46" s="10" t="s">
        <v>1311</v>
      </c>
      <c r="C46" s="11">
        <v>95410144</v>
      </c>
      <c r="D46" s="13" t="str">
        <f>VLOOKUP(B46,三才书属性加成!$B:$D,3,0)</f>
        <v>装配此卷的角色体力恢复提升20%。</v>
      </c>
      <c r="E46" s="9" t="s">
        <v>1283</v>
      </c>
      <c r="F46" s="15">
        <v>3</v>
      </c>
      <c r="G46" s="15">
        <v>3003</v>
      </c>
      <c r="I46" s="13" t="s">
        <v>1313</v>
      </c>
      <c r="J46" s="92">
        <v>0</v>
      </c>
      <c r="K46" s="91" t="s">
        <v>1182</v>
      </c>
      <c r="L46" s="9">
        <f t="shared" si="0"/>
        <v>100144</v>
      </c>
    </row>
    <row r="47" spans="1:12" s="88" customFormat="1" ht="15.6" x14ac:dyDescent="0.25">
      <c r="A47" s="83">
        <v>100145</v>
      </c>
      <c r="B47" s="84" t="s">
        <v>1314</v>
      </c>
      <c r="C47" s="85">
        <v>95410145</v>
      </c>
      <c r="D47" s="87" t="str">
        <f>VLOOKUP(B47,三才书属性加成!$B:$D,3,0)</f>
        <v>装配此卷的角色吸血提升5%，气血上限降低5%</v>
      </c>
      <c r="E47" s="83" t="s">
        <v>1283</v>
      </c>
      <c r="F47" s="86">
        <v>3</v>
      </c>
      <c r="G47" s="86">
        <v>3003</v>
      </c>
      <c r="H47" s="86"/>
      <c r="I47" s="87" t="s">
        <v>1316</v>
      </c>
      <c r="J47" s="92">
        <v>0</v>
      </c>
      <c r="K47" s="91" t="s">
        <v>1182</v>
      </c>
      <c r="L47" s="83">
        <f t="shared" si="0"/>
        <v>100145</v>
      </c>
    </row>
    <row r="48" spans="1:12" s="88" customFormat="1" ht="15.6" x14ac:dyDescent="0.25">
      <c r="A48" s="83">
        <v>100146</v>
      </c>
      <c r="B48" s="84" t="s">
        <v>1317</v>
      </c>
      <c r="C48" s="85">
        <v>95410146</v>
      </c>
      <c r="D48" s="87" t="str">
        <f>VLOOKUP(B48,三才书属性加成!$B:$D,3,0)</f>
        <v>装配此卷的角色移动速度提升30，体力上限降低20%</v>
      </c>
      <c r="E48" s="83" t="s">
        <v>1283</v>
      </c>
      <c r="F48" s="86">
        <v>3</v>
      </c>
      <c r="G48" s="86">
        <v>3004</v>
      </c>
      <c r="H48" s="86"/>
      <c r="I48" s="87" t="s">
        <v>1319</v>
      </c>
      <c r="J48" s="92">
        <v>0</v>
      </c>
      <c r="K48" s="91" t="s">
        <v>1182</v>
      </c>
      <c r="L48" s="83">
        <f t="shared" si="0"/>
        <v>100146</v>
      </c>
    </row>
    <row r="49" spans="1:12" s="88" customFormat="1" ht="15.6" x14ac:dyDescent="0.25">
      <c r="A49" s="83">
        <v>100147</v>
      </c>
      <c r="B49" s="84" t="s">
        <v>1320</v>
      </c>
      <c r="C49" s="85">
        <v>95410147</v>
      </c>
      <c r="D49" s="87" t="str">
        <f>VLOOKUP(B49,三才书属性加成!$B:$D,3,0)</f>
        <v>装配此卷的角色，使用暗器时提升自身暴击率10%</v>
      </c>
      <c r="E49" s="83" t="s">
        <v>1283</v>
      </c>
      <c r="F49" s="86">
        <v>3</v>
      </c>
      <c r="G49" s="86">
        <v>3004</v>
      </c>
      <c r="H49" s="86"/>
      <c r="I49" s="87" t="s">
        <v>1322</v>
      </c>
      <c r="J49" s="92">
        <v>0</v>
      </c>
      <c r="K49" s="91" t="s">
        <v>1182</v>
      </c>
      <c r="L49" s="83">
        <f t="shared" si="0"/>
        <v>100147</v>
      </c>
    </row>
    <row r="50" spans="1:12" s="88" customFormat="1" ht="15.6" x14ac:dyDescent="0.25">
      <c r="A50" s="83">
        <v>100148</v>
      </c>
      <c r="B50" s="84" t="s">
        <v>1323</v>
      </c>
      <c r="C50" s="85">
        <v>95410148</v>
      </c>
      <c r="D50" s="87" t="str">
        <f>VLOOKUP(B50,三才书属性加成!$B:$D,3,0)</f>
        <v>装配此卷的角色内劲增长提升10%。</v>
      </c>
      <c r="E50" s="83" t="s">
        <v>1283</v>
      </c>
      <c r="F50" s="86">
        <v>3</v>
      </c>
      <c r="G50" s="86">
        <v>3004</v>
      </c>
      <c r="H50" s="86"/>
      <c r="I50" s="87" t="s">
        <v>1325</v>
      </c>
      <c r="J50" s="92">
        <v>0</v>
      </c>
      <c r="K50" s="91" t="s">
        <v>1182</v>
      </c>
      <c r="L50" s="83">
        <f t="shared" si="0"/>
        <v>100148</v>
      </c>
    </row>
    <row r="51" spans="1:12" s="88" customFormat="1" ht="15.6" x14ac:dyDescent="0.25">
      <c r="A51" s="83">
        <v>100149</v>
      </c>
      <c r="B51" s="84" t="s">
        <v>1326</v>
      </c>
      <c r="C51" s="85">
        <v>95410149</v>
      </c>
      <c r="D51" s="87" t="str">
        <f>VLOOKUP(B51,三才书属性加成!$B:$D,3,0)</f>
        <v>装配此卷的角色获得的修为值额外提升10%，攻击力降低5%</v>
      </c>
      <c r="E51" s="83" t="s">
        <v>1283</v>
      </c>
      <c r="F51" s="86">
        <v>3</v>
      </c>
      <c r="G51" s="86">
        <v>3005</v>
      </c>
      <c r="H51" s="86"/>
      <c r="I51" s="87" t="s">
        <v>1328</v>
      </c>
      <c r="J51" s="92">
        <v>0</v>
      </c>
      <c r="K51" s="91" t="s">
        <v>1182</v>
      </c>
      <c r="L51" s="83">
        <f t="shared" si="0"/>
        <v>100149</v>
      </c>
    </row>
    <row r="52" spans="1:12" s="88" customFormat="1" ht="15.6" x14ac:dyDescent="0.25">
      <c r="A52" s="83">
        <v>100150</v>
      </c>
      <c r="B52" s="84" t="s">
        <v>1329</v>
      </c>
      <c r="C52" s="85">
        <v>95410150</v>
      </c>
      <c r="D52" s="87" t="str">
        <f>VLOOKUP(B52,三才书属性加成!$B:$D,3,0)</f>
        <v>装配此卷的角色免暴提升10%，暴击减免提升10%</v>
      </c>
      <c r="E52" s="83" t="s">
        <v>1283</v>
      </c>
      <c r="F52" s="86">
        <v>3</v>
      </c>
      <c r="G52" s="86">
        <v>3005</v>
      </c>
      <c r="H52" s="86"/>
      <c r="I52" s="87" t="s">
        <v>1501</v>
      </c>
      <c r="J52" s="92">
        <v>0</v>
      </c>
      <c r="K52" s="91" t="s">
        <v>1182</v>
      </c>
      <c r="L52" s="83">
        <f t="shared" si="0"/>
        <v>100150</v>
      </c>
    </row>
  </sheetData>
  <autoFilter ref="A1:I52" xr:uid="{00000000-0009-0000-0000-000004000000}"/>
  <phoneticPr fontId="2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2"/>
  <sheetViews>
    <sheetView zoomScaleNormal="100" workbookViewId="0">
      <pane xSplit="4" ySplit="2" topLeftCell="L36" activePane="bottomRight" state="frozenSplit"/>
      <selection pane="topRight"/>
      <selection pane="bottomLeft"/>
      <selection pane="bottomRight" activeCell="B38" sqref="B38"/>
    </sheetView>
  </sheetViews>
  <sheetFormatPr defaultColWidth="9" defaultRowHeight="14.4" x14ac:dyDescent="0.25"/>
  <cols>
    <col min="1" max="1" width="7.5546875" style="15" customWidth="1"/>
    <col min="2" max="2" width="18.33203125" style="15" customWidth="1"/>
    <col min="4" max="4" width="57.33203125" style="15" customWidth="1"/>
    <col min="5" max="7" width="6.21875" style="15" customWidth="1"/>
    <col min="8" max="8" width="12.5546875" style="15" customWidth="1"/>
    <col min="9" max="9" width="16.44140625" customWidth="1"/>
  </cols>
  <sheetData>
    <row r="1" spans="1:32" ht="18.600000000000001" customHeight="1" x14ac:dyDescent="0.25">
      <c r="A1" s="28" t="s">
        <v>1165</v>
      </c>
      <c r="B1" s="28" t="s">
        <v>1166</v>
      </c>
      <c r="C1" s="28" t="s">
        <v>265</v>
      </c>
      <c r="D1" s="28" t="s">
        <v>265</v>
      </c>
      <c r="E1" s="28"/>
      <c r="F1" s="28"/>
      <c r="G1" s="28"/>
      <c r="H1" s="28" t="s">
        <v>1332</v>
      </c>
      <c r="I1" s="29" t="s">
        <v>1333</v>
      </c>
      <c r="J1" s="29" t="s">
        <v>1334</v>
      </c>
      <c r="K1" s="81" t="s">
        <v>1463</v>
      </c>
      <c r="L1" s="31" t="s">
        <v>1335</v>
      </c>
      <c r="M1" s="29" t="s">
        <v>1336</v>
      </c>
      <c r="N1" s="29" t="s">
        <v>1337</v>
      </c>
      <c r="O1" s="29" t="s">
        <v>1338</v>
      </c>
      <c r="P1" s="31" t="s">
        <v>1339</v>
      </c>
      <c r="Q1" s="31" t="s">
        <v>1340</v>
      </c>
      <c r="R1" s="31" t="s">
        <v>1341</v>
      </c>
      <c r="S1" s="31" t="s">
        <v>1342</v>
      </c>
      <c r="T1" s="31" t="s">
        <v>1343</v>
      </c>
      <c r="U1" s="31" t="s">
        <v>1344</v>
      </c>
      <c r="V1" s="31" t="s">
        <v>1345</v>
      </c>
      <c r="W1" s="31" t="s">
        <v>1346</v>
      </c>
      <c r="X1" s="31" t="s">
        <v>1347</v>
      </c>
      <c r="Y1" s="29" t="s">
        <v>1348</v>
      </c>
      <c r="Z1" s="29" t="s">
        <v>1349</v>
      </c>
      <c r="AA1" s="29" t="s">
        <v>1350</v>
      </c>
      <c r="AB1" s="29" t="s">
        <v>1351</v>
      </c>
      <c r="AC1" s="29" t="s">
        <v>1352</v>
      </c>
      <c r="AD1" s="29" t="s">
        <v>1353</v>
      </c>
      <c r="AE1" s="31" t="s">
        <v>1354</v>
      </c>
      <c r="AF1" s="31" t="s">
        <v>1355</v>
      </c>
    </row>
    <row r="2" spans="1:32" x14ac:dyDescent="0.25">
      <c r="A2" s="28" t="s">
        <v>13</v>
      </c>
      <c r="B2" s="28" t="s">
        <v>14</v>
      </c>
      <c r="C2" s="29"/>
      <c r="D2" s="28"/>
      <c r="E2" s="28"/>
      <c r="F2" s="28"/>
      <c r="G2" s="28"/>
      <c r="H2" s="28" t="s">
        <v>16</v>
      </c>
      <c r="I2" s="29" t="s">
        <v>1356</v>
      </c>
      <c r="J2" s="29" t="s">
        <v>1357</v>
      </c>
      <c r="K2" s="82" t="s">
        <v>1464</v>
      </c>
      <c r="L2" s="29" t="s">
        <v>1358</v>
      </c>
      <c r="M2" s="29" t="s">
        <v>1359</v>
      </c>
      <c r="N2" s="29" t="s">
        <v>1360</v>
      </c>
      <c r="O2" s="29" t="s">
        <v>1361</v>
      </c>
      <c r="P2" s="29" t="s">
        <v>1362</v>
      </c>
      <c r="Q2" s="29" t="s">
        <v>1363</v>
      </c>
      <c r="R2" s="29" t="s">
        <v>1364</v>
      </c>
      <c r="S2" s="29" t="s">
        <v>1365</v>
      </c>
      <c r="T2" s="29" t="s">
        <v>1366</v>
      </c>
      <c r="U2" s="29" t="s">
        <v>1367</v>
      </c>
      <c r="V2" s="29" t="s">
        <v>1368</v>
      </c>
      <c r="W2" s="29" t="s">
        <v>1369</v>
      </c>
      <c r="X2" s="29" t="s">
        <v>1370</v>
      </c>
      <c r="Y2" s="29" t="s">
        <v>1371</v>
      </c>
      <c r="Z2" s="29" t="s">
        <v>1372</v>
      </c>
      <c r="AA2" s="29" t="s">
        <v>1373</v>
      </c>
      <c r="AB2" s="29" t="s">
        <v>1374</v>
      </c>
      <c r="AC2" s="29" t="s">
        <v>1375</v>
      </c>
      <c r="AD2" s="29" t="s">
        <v>1376</v>
      </c>
      <c r="AE2" s="29" t="s">
        <v>1377</v>
      </c>
      <c r="AF2" s="29" t="s">
        <v>1378</v>
      </c>
    </row>
    <row r="3" spans="1:32" x14ac:dyDescent="0.25">
      <c r="A3" s="9">
        <v>100101</v>
      </c>
      <c r="B3" s="10" t="s">
        <v>1180</v>
      </c>
      <c r="C3" s="6"/>
      <c r="D3" s="13" t="s">
        <v>1465</v>
      </c>
      <c r="E3" s="68" t="s">
        <v>1422</v>
      </c>
      <c r="F3" s="68" t="s">
        <v>1444</v>
      </c>
      <c r="G3" s="68"/>
      <c r="H3" s="7">
        <v>1</v>
      </c>
      <c r="I3" s="69" t="str">
        <f>VLOOKUP(F3,Sheet1!$A$85:$G$101,2,0)&amp;"_"&amp;VLOOKUP(E3,Sheet1!$A$85:$G$101,2,0)&amp;IF(VLOOKUP(G3,Sheet1!$A$85:$G$101,2,0)=0,"","")</f>
        <v>5_2</v>
      </c>
      <c r="J3" s="6"/>
      <c r="K3" s="6"/>
      <c r="L3" s="6"/>
      <c r="M3" s="6"/>
      <c r="N3" s="6">
        <v>0.05</v>
      </c>
      <c r="O3" s="6">
        <v>0.05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5">
      <c r="A4" s="9">
        <v>100102</v>
      </c>
      <c r="B4" s="10" t="s">
        <v>1185</v>
      </c>
      <c r="C4" s="6"/>
      <c r="D4" s="13" t="s">
        <v>1186</v>
      </c>
      <c r="E4" s="68" t="s">
        <v>1428</v>
      </c>
      <c r="F4" s="68" t="s">
        <v>1430</v>
      </c>
      <c r="G4" s="68"/>
      <c r="H4" s="7">
        <v>1</v>
      </c>
      <c r="I4" s="69" t="str">
        <f>VLOOKUP(F4,Sheet1!$A$85:$G$101,2,0)&amp;"_"&amp;VLOOKUP(E4,Sheet1!$A$85:$G$101,2,0)&amp;IF(VLOOKUP(G4,Sheet1!$A$85:$G$101,2,0)=0,"","")</f>
        <v>9_1</v>
      </c>
      <c r="J4" s="6"/>
      <c r="K4" s="6"/>
      <c r="L4" s="6"/>
      <c r="M4" s="6"/>
      <c r="N4" s="6">
        <v>0.05</v>
      </c>
      <c r="O4" s="6">
        <v>0.05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25">
      <c r="A5" s="9">
        <v>100103</v>
      </c>
      <c r="B5" s="10" t="s">
        <v>1188</v>
      </c>
      <c r="C5" s="6"/>
      <c r="D5" s="13" t="s">
        <v>1189</v>
      </c>
      <c r="E5" s="68" t="s">
        <v>1433</v>
      </c>
      <c r="F5" s="68" t="s">
        <v>1434</v>
      </c>
      <c r="G5" s="68"/>
      <c r="H5" s="7">
        <v>1</v>
      </c>
      <c r="I5" s="69" t="str">
        <f>VLOOKUP(F5,Sheet1!$A$85:$G$101,2,0)&amp;"_"&amp;VLOOKUP(E5,Sheet1!$A$85:$G$101,2,0)&amp;IF(VLOOKUP(G5,Sheet1!$A$85:$G$101,2,0)=0,"","")</f>
        <v>4_3</v>
      </c>
      <c r="J5" s="6"/>
      <c r="K5" s="6"/>
      <c r="L5" s="6"/>
      <c r="M5" s="6"/>
      <c r="N5" s="6">
        <v>0.05</v>
      </c>
      <c r="O5" s="6">
        <v>0.05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25">
      <c r="A6" s="9">
        <v>100104</v>
      </c>
      <c r="B6" s="10" t="s">
        <v>1191</v>
      </c>
      <c r="C6" s="6"/>
      <c r="D6" s="17" t="s">
        <v>1192</v>
      </c>
      <c r="E6" s="70" t="s">
        <v>1435</v>
      </c>
      <c r="F6" s="70" t="s">
        <v>1436</v>
      </c>
      <c r="G6" s="70"/>
      <c r="H6" s="7">
        <v>1</v>
      </c>
      <c r="I6" s="69" t="str">
        <f>VLOOKUP(F6,Sheet1!$A$85:$G$101,2,0)&amp;"_"&amp;VLOOKUP(E6,Sheet1!$A$85:$G$101,2,0)&amp;IF(VLOOKUP(G6,Sheet1!$A$85:$G$101,2,0)=0,"","")</f>
        <v>13_11</v>
      </c>
      <c r="J6" s="6"/>
      <c r="K6" s="6"/>
      <c r="L6" s="6"/>
      <c r="M6" s="6"/>
      <c r="N6" s="6">
        <v>0.05</v>
      </c>
      <c r="O6" s="6">
        <v>0.05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5">
      <c r="A7" s="9">
        <v>100105</v>
      </c>
      <c r="B7" s="10" t="s">
        <v>1194</v>
      </c>
      <c r="C7" s="30"/>
      <c r="D7" s="17" t="s">
        <v>1195</v>
      </c>
      <c r="E7" s="70" t="s">
        <v>1438</v>
      </c>
      <c r="F7" s="70" t="s">
        <v>1440</v>
      </c>
      <c r="G7" s="70" t="s">
        <v>1441</v>
      </c>
      <c r="H7" s="7">
        <v>1</v>
      </c>
      <c r="I7" s="69" t="str">
        <f>VLOOKUP(F7,Sheet1!$A$85:$G$101,2,0)&amp;"_"&amp;VLOOKUP(E7,Sheet1!$A$85:$G$101,2,0)&amp;IF(VLOOKUP(G7,Sheet1!$A$85:$G$101,2,0)=0,"","_"&amp;VLOOKUP(G7,Sheet1!$A$85:$G$101,2,0))</f>
        <v>14_6_12</v>
      </c>
      <c r="J7" s="30"/>
      <c r="K7" s="30"/>
      <c r="L7" s="30"/>
      <c r="M7" s="30"/>
      <c r="N7" s="6">
        <v>0.05</v>
      </c>
      <c r="O7" s="6">
        <v>0.05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 spans="1:32" x14ac:dyDescent="0.25">
      <c r="A8" s="9">
        <v>100106</v>
      </c>
      <c r="B8" s="10" t="s">
        <v>1197</v>
      </c>
      <c r="C8" s="30"/>
      <c r="D8" s="13" t="s">
        <v>1198</v>
      </c>
      <c r="E8" s="68" t="s">
        <v>1442</v>
      </c>
      <c r="F8" s="68" t="s">
        <v>1443</v>
      </c>
      <c r="G8" s="13"/>
      <c r="H8" s="7">
        <v>1</v>
      </c>
      <c r="I8" s="69" t="str">
        <f>VLOOKUP(F8,Sheet1!$A$85:$G$101,2,0)&amp;"_"&amp;VLOOKUP(E8,Sheet1!$A$85:$G$101,2,0)&amp;IF(VLOOKUP(G8,Sheet1!$A$85:$G$101,2,0)=0,"","")</f>
        <v>15_10</v>
      </c>
      <c r="J8" s="30"/>
      <c r="K8" s="30"/>
      <c r="L8" s="30"/>
      <c r="M8" s="30"/>
      <c r="N8" s="6">
        <v>0.05</v>
      </c>
      <c r="O8" s="6">
        <v>0.05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 spans="1:32" x14ac:dyDescent="0.25">
      <c r="A9" s="9">
        <v>100107</v>
      </c>
      <c r="B9" s="10" t="s">
        <v>1200</v>
      </c>
      <c r="C9" s="6"/>
      <c r="D9" s="13" t="s">
        <v>1472</v>
      </c>
      <c r="E9" s="68" t="s">
        <v>1428</v>
      </c>
      <c r="F9" s="68" t="s">
        <v>1430</v>
      </c>
      <c r="G9" s="68"/>
      <c r="H9" s="7">
        <v>8</v>
      </c>
      <c r="I9" s="69" t="str">
        <f>VLOOKUP(F9,Sheet1!$A$85:$G$101,2,0)&amp;"_"&amp;VLOOKUP(E9,Sheet1!$A$85:$G$101,2,0)&amp;IF(VLOOKUP(G9,Sheet1!$A$85:$G$101,2,0)=0,"","")</f>
        <v>9_1</v>
      </c>
      <c r="J9" s="6"/>
      <c r="K9" s="6"/>
      <c r="L9" s="6"/>
      <c r="M9" s="6"/>
      <c r="N9" s="6">
        <v>0.05</v>
      </c>
      <c r="O9" s="6">
        <v>0.05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25">
      <c r="A10" s="9">
        <v>100108</v>
      </c>
      <c r="B10" s="10" t="s">
        <v>1203</v>
      </c>
      <c r="C10" s="6"/>
      <c r="D10" s="13" t="s">
        <v>1473</v>
      </c>
      <c r="E10" s="68" t="s">
        <v>1422</v>
      </c>
      <c r="F10" s="68" t="s">
        <v>1444</v>
      </c>
      <c r="G10" s="13"/>
      <c r="H10" s="7">
        <v>8</v>
      </c>
      <c r="I10" s="69" t="str">
        <f>VLOOKUP(F10,Sheet1!$A$85:$G$101,2,0)&amp;"_"&amp;VLOOKUP(E10,Sheet1!$A$85:$G$101,2,0)&amp;IF(VLOOKUP(G10,Sheet1!$A$85:$G$101,2,0)=0,"","")</f>
        <v>5_2</v>
      </c>
      <c r="J10" s="6"/>
      <c r="K10" s="6"/>
      <c r="L10" s="6"/>
      <c r="M10" s="6"/>
      <c r="N10" s="6">
        <v>0.05</v>
      </c>
      <c r="O10" s="6">
        <v>0.05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25">
      <c r="A11" s="9">
        <v>100109</v>
      </c>
      <c r="B11" s="10" t="s">
        <v>1206</v>
      </c>
      <c r="C11" s="6"/>
      <c r="D11" s="13" t="s">
        <v>1474</v>
      </c>
      <c r="E11" s="68" t="s">
        <v>1424</v>
      </c>
      <c r="F11" s="68" t="s">
        <v>1434</v>
      </c>
      <c r="G11" s="13"/>
      <c r="H11" s="7">
        <v>8</v>
      </c>
      <c r="I11" s="69" t="str">
        <f>VLOOKUP(F11,Sheet1!$A$85:$G$101,2,0)&amp;"_"&amp;VLOOKUP(E11,Sheet1!$A$85:$G$101,2,0)&amp;IF(VLOOKUP(G11,Sheet1!$A$85:$G$101,2,0)=0,"","")</f>
        <v>4_3</v>
      </c>
      <c r="J11" s="6"/>
      <c r="K11" s="6"/>
      <c r="L11" s="6"/>
      <c r="M11" s="6"/>
      <c r="N11" s="6">
        <v>0.05</v>
      </c>
      <c r="O11" s="6">
        <v>0.05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25">
      <c r="A12" s="9">
        <v>100110</v>
      </c>
      <c r="B12" s="10" t="s">
        <v>1209</v>
      </c>
      <c r="C12" s="6"/>
      <c r="D12" s="13" t="s">
        <v>1475</v>
      </c>
      <c r="E12" s="68" t="s">
        <v>1438</v>
      </c>
      <c r="F12" s="68" t="s">
        <v>1440</v>
      </c>
      <c r="G12" s="68" t="s">
        <v>1441</v>
      </c>
      <c r="H12" s="7">
        <v>8</v>
      </c>
      <c r="I12" s="69" t="str">
        <f>VLOOKUP(F12,Sheet1!$A$85:$G$101,2,0)&amp;"_"&amp;VLOOKUP(E12,Sheet1!$A$85:$G$101,2,0)&amp;IF(VLOOKUP(G12,Sheet1!$A$85:$G$101,2,0)=0,"","_"&amp;VLOOKUP(G12,Sheet1!$A$85:$G$101,2,0))</f>
        <v>14_6_12</v>
      </c>
      <c r="J12" s="6"/>
      <c r="K12" s="6"/>
      <c r="L12" s="6"/>
      <c r="M12" s="6"/>
      <c r="N12" s="6">
        <v>0.05</v>
      </c>
      <c r="O12" s="6">
        <v>0.05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5">
      <c r="A13" s="9">
        <v>100111</v>
      </c>
      <c r="B13" s="10" t="s">
        <v>1495</v>
      </c>
      <c r="C13" s="6"/>
      <c r="D13" s="13" t="s">
        <v>1476</v>
      </c>
      <c r="E13" s="68" t="s">
        <v>1442</v>
      </c>
      <c r="F13" s="68" t="s">
        <v>1443</v>
      </c>
      <c r="G13" s="13"/>
      <c r="H13" s="7">
        <v>8</v>
      </c>
      <c r="I13" s="69" t="str">
        <f>VLOOKUP(F13,Sheet1!$A$85:$G$101,2,0)&amp;"_"&amp;VLOOKUP(E13,Sheet1!$A$85:$G$101,2,0)&amp;IF(VLOOKUP(G13,Sheet1!$A$85:$G$101,2,0)=0,"","")</f>
        <v>15_10</v>
      </c>
      <c r="J13" s="6"/>
      <c r="K13" s="6"/>
      <c r="L13" s="6"/>
      <c r="M13" s="6"/>
      <c r="N13" s="6">
        <v>0.05</v>
      </c>
      <c r="O13" s="6">
        <v>0.05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25">
      <c r="A14" s="9">
        <v>100112</v>
      </c>
      <c r="B14" s="10" t="s">
        <v>1496</v>
      </c>
      <c r="C14" s="6"/>
      <c r="D14" s="13" t="s">
        <v>1477</v>
      </c>
      <c r="E14" s="68" t="s">
        <v>1435</v>
      </c>
      <c r="F14" s="68" t="s">
        <v>1436</v>
      </c>
      <c r="G14" s="13"/>
      <c r="H14" s="7">
        <v>8</v>
      </c>
      <c r="I14" s="69" t="str">
        <f>VLOOKUP(F14,Sheet1!$A$85:$G$101,2,0)&amp;"_"&amp;VLOOKUP(E14,Sheet1!$A$85:$G$101,2,0)&amp;IF(VLOOKUP(G14,Sheet1!$A$85:$G$101,2,0)=0,"","")</f>
        <v>13_11</v>
      </c>
      <c r="J14" s="6"/>
      <c r="K14" s="6"/>
      <c r="L14" s="6"/>
      <c r="M14" s="6"/>
      <c r="N14" s="6">
        <v>0.05</v>
      </c>
      <c r="O14" s="6">
        <v>0.05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25">
      <c r="A15" s="9">
        <v>100113</v>
      </c>
      <c r="B15" s="10" t="s">
        <v>1217</v>
      </c>
      <c r="C15" s="6"/>
      <c r="D15" s="13" t="s">
        <v>1493</v>
      </c>
      <c r="E15" s="13"/>
      <c r="F15" s="13"/>
      <c r="G15" s="13"/>
      <c r="H15" s="7">
        <v>0</v>
      </c>
      <c r="I15" s="6"/>
      <c r="J15" s="6"/>
      <c r="K15" s="6"/>
      <c r="L15" s="6">
        <v>-0.05</v>
      </c>
      <c r="M15" s="6"/>
      <c r="N15" s="6">
        <v>0.05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25">
      <c r="A16" s="9">
        <v>100114</v>
      </c>
      <c r="B16" s="10" t="s">
        <v>1220</v>
      </c>
      <c r="C16" s="6"/>
      <c r="D16" s="13" t="s">
        <v>1494</v>
      </c>
      <c r="E16" s="13"/>
      <c r="F16" s="13"/>
      <c r="G16" s="13"/>
      <c r="H16" s="7">
        <v>0</v>
      </c>
      <c r="I16" s="6"/>
      <c r="J16" s="6"/>
      <c r="K16" s="6"/>
      <c r="L16" s="6"/>
      <c r="M16" s="6">
        <v>-0.05</v>
      </c>
      <c r="N16" s="6"/>
      <c r="O16" s="6">
        <v>0.05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5">
      <c r="A17" s="9">
        <v>100116</v>
      </c>
      <c r="B17" s="10" t="s">
        <v>1226</v>
      </c>
      <c r="C17" s="6"/>
      <c r="D17" s="68" t="s">
        <v>1456</v>
      </c>
      <c r="E17" s="13"/>
      <c r="F17" s="13"/>
      <c r="G17" s="13"/>
      <c r="H17" s="7">
        <v>0</v>
      </c>
      <c r="I17" s="6"/>
      <c r="J17" s="6"/>
      <c r="K17" s="6"/>
      <c r="L17" s="6"/>
      <c r="M17" s="6"/>
      <c r="N17" s="6"/>
      <c r="O17" s="6"/>
      <c r="P17" s="6">
        <v>0.05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5">
      <c r="A18" s="9">
        <v>100117</v>
      </c>
      <c r="B18" s="10" t="s">
        <v>1229</v>
      </c>
      <c r="C18" s="6"/>
      <c r="D18" s="68" t="s">
        <v>1459</v>
      </c>
      <c r="E18" s="13"/>
      <c r="F18" s="13"/>
      <c r="G18" s="13"/>
      <c r="H18" s="7">
        <v>0</v>
      </c>
      <c r="I18" s="6"/>
      <c r="J18" s="6"/>
      <c r="K18" s="6"/>
      <c r="L18" s="6"/>
      <c r="M18" s="6"/>
      <c r="N18" s="6"/>
      <c r="O18" s="6"/>
      <c r="P18" s="6"/>
      <c r="Q18" s="6"/>
      <c r="R18" s="6">
        <v>0.15</v>
      </c>
      <c r="S18" s="6">
        <v>-0.05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5">
      <c r="A19" s="9">
        <v>100120</v>
      </c>
      <c r="B19" s="10" t="s">
        <v>1238</v>
      </c>
      <c r="C19" s="6"/>
      <c r="D19" s="13" t="s">
        <v>1239</v>
      </c>
      <c r="E19" s="13"/>
      <c r="F19" s="13"/>
      <c r="G19" s="13"/>
      <c r="H19" s="7"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0.05</v>
      </c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5">
      <c r="A20" s="9">
        <v>100121</v>
      </c>
      <c r="B20" s="10" t="s">
        <v>1241</v>
      </c>
      <c r="C20" s="6"/>
      <c r="D20" s="68" t="s">
        <v>1460</v>
      </c>
      <c r="E20" s="13"/>
      <c r="F20" s="13"/>
      <c r="G20" s="13"/>
      <c r="H20" s="7">
        <v>0</v>
      </c>
      <c r="I20" s="6"/>
      <c r="J20" s="6"/>
      <c r="K20" s="6"/>
      <c r="L20" s="6">
        <v>0.05</v>
      </c>
      <c r="M20" s="6">
        <v>0.05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5">
      <c r="A21" s="9">
        <v>100125</v>
      </c>
      <c r="B21" s="10" t="s">
        <v>1254</v>
      </c>
      <c r="C21" s="6"/>
      <c r="D21" s="74" t="s">
        <v>1458</v>
      </c>
      <c r="E21" s="13"/>
      <c r="F21" s="13"/>
      <c r="G21" s="13"/>
      <c r="H21" s="7"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0.1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25">
      <c r="A22" s="9">
        <v>100126</v>
      </c>
      <c r="B22" s="10" t="s">
        <v>1257</v>
      </c>
      <c r="C22" s="6"/>
      <c r="D22" s="13" t="s">
        <v>1258</v>
      </c>
      <c r="E22" s="13"/>
      <c r="F22" s="13"/>
      <c r="G22" s="13"/>
      <c r="H22" s="7">
        <v>0</v>
      </c>
      <c r="I22" s="6"/>
      <c r="J22" s="6"/>
      <c r="K22" s="6"/>
      <c r="L22" s="6"/>
      <c r="M22" s="6">
        <v>0.1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25">
      <c r="A23" s="9">
        <v>100127</v>
      </c>
      <c r="B23" s="10" t="s">
        <v>1260</v>
      </c>
      <c r="C23" s="6"/>
      <c r="D23" s="68" t="s">
        <v>1457</v>
      </c>
      <c r="E23" s="13"/>
      <c r="F23" s="13"/>
      <c r="G23" s="13"/>
      <c r="H23" s="7">
        <v>0</v>
      </c>
      <c r="I23" s="6"/>
      <c r="J23" s="6"/>
      <c r="K23" s="6"/>
      <c r="L23" s="6"/>
      <c r="M23" s="6"/>
      <c r="N23" s="6"/>
      <c r="O23" s="6"/>
      <c r="P23" s="6"/>
      <c r="Q23" s="6">
        <v>0.1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s="80" customFormat="1" x14ac:dyDescent="0.25">
      <c r="A24" s="75">
        <v>100128</v>
      </c>
      <c r="B24" s="76" t="s">
        <v>1263</v>
      </c>
      <c r="C24" s="75"/>
      <c r="D24" s="77" t="s">
        <v>1458</v>
      </c>
      <c r="E24" s="78"/>
      <c r="F24" s="78"/>
      <c r="G24" s="78"/>
      <c r="H24" s="79">
        <v>0</v>
      </c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</row>
    <row r="25" spans="1:32" x14ac:dyDescent="0.25">
      <c r="A25" s="9">
        <v>100129</v>
      </c>
      <c r="B25" s="10" t="s">
        <v>1266</v>
      </c>
      <c r="C25" s="6"/>
      <c r="D25" s="13" t="s">
        <v>1267</v>
      </c>
      <c r="E25" s="13"/>
      <c r="F25" s="13"/>
      <c r="G25" s="13"/>
      <c r="H25" s="7">
        <v>0</v>
      </c>
      <c r="I25" s="6"/>
      <c r="J25" s="6">
        <v>0.1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25">
      <c r="A26" s="9">
        <v>100131</v>
      </c>
      <c r="B26" s="10" t="s">
        <v>1272</v>
      </c>
      <c r="C26" s="6"/>
      <c r="D26" s="13" t="s">
        <v>1273</v>
      </c>
      <c r="E26" s="13"/>
      <c r="F26" s="13"/>
      <c r="G26" s="13"/>
      <c r="H26" s="7">
        <v>0</v>
      </c>
      <c r="I26" s="6"/>
      <c r="J26" s="6"/>
      <c r="K26" s="6"/>
      <c r="L26" s="6">
        <v>0.1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25">
      <c r="A27" s="9">
        <v>100132</v>
      </c>
      <c r="B27" s="10" t="s">
        <v>1275</v>
      </c>
      <c r="C27" s="6"/>
      <c r="D27" s="13" t="s">
        <v>1276</v>
      </c>
      <c r="E27" s="13"/>
      <c r="F27" s="13"/>
      <c r="G27" s="13"/>
      <c r="H27" s="7"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>
        <v>0.05</v>
      </c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25">
      <c r="A28" s="9">
        <v>100133</v>
      </c>
      <c r="B28" s="10" t="s">
        <v>1278</v>
      </c>
      <c r="C28" s="6"/>
      <c r="D28" s="13" t="s">
        <v>1279</v>
      </c>
      <c r="E28" s="13"/>
      <c r="F28" s="13"/>
      <c r="G28" s="13"/>
      <c r="H28" s="7"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0.1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25">
      <c r="A29" s="9">
        <v>100134</v>
      </c>
      <c r="B29" s="10" t="s">
        <v>1281</v>
      </c>
      <c r="C29" s="6"/>
      <c r="D29" s="13" t="s">
        <v>1466</v>
      </c>
      <c r="E29" s="68" t="s">
        <v>1422</v>
      </c>
      <c r="F29" s="68" t="s">
        <v>1444</v>
      </c>
      <c r="G29" s="13"/>
      <c r="H29" s="7">
        <v>8</v>
      </c>
      <c r="I29" s="69" t="str">
        <f>VLOOKUP(F29,Sheet1!$A$85:$G$101,2,0)&amp;"_"&amp;VLOOKUP(E29,Sheet1!$A$85:$G$101,2,0)&amp;IF(VLOOKUP(G29,Sheet1!$A$85:$G$101,2,0)=0,"","")</f>
        <v>5_2</v>
      </c>
      <c r="J29" s="6"/>
      <c r="K29" s="6"/>
      <c r="L29" s="6"/>
      <c r="M29" s="6"/>
      <c r="N29" s="6"/>
      <c r="O29" s="6"/>
      <c r="P29" s="6">
        <v>0.05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25">
      <c r="A30" s="9">
        <v>100135</v>
      </c>
      <c r="B30" s="10" t="s">
        <v>1285</v>
      </c>
      <c r="C30" s="6"/>
      <c r="D30" s="13" t="s">
        <v>1467</v>
      </c>
      <c r="E30" s="68" t="s">
        <v>1428</v>
      </c>
      <c r="F30" s="68" t="s">
        <v>1430</v>
      </c>
      <c r="G30" s="13"/>
      <c r="H30" s="7">
        <v>8</v>
      </c>
      <c r="I30" s="69" t="str">
        <f>VLOOKUP(F30,Sheet1!$A$85:$G$101,2,0)&amp;"_"&amp;VLOOKUP(E30,Sheet1!$A$85:$G$101,2,0)&amp;IF(VLOOKUP(G30,Sheet1!$A$85:$G$101,2,0)=0,"","")</f>
        <v>9_1</v>
      </c>
      <c r="J30" s="6"/>
      <c r="K30" s="6"/>
      <c r="L30" s="6"/>
      <c r="M30" s="6"/>
      <c r="N30" s="6"/>
      <c r="O30" s="6"/>
      <c r="P30" s="6">
        <v>0.05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25">
      <c r="A31" s="9">
        <v>100136</v>
      </c>
      <c r="B31" s="10" t="s">
        <v>1288</v>
      </c>
      <c r="C31" s="6"/>
      <c r="D31" s="13" t="s">
        <v>1468</v>
      </c>
      <c r="E31" s="68" t="s">
        <v>1424</v>
      </c>
      <c r="F31" s="68" t="s">
        <v>1434</v>
      </c>
      <c r="G31" s="13"/>
      <c r="H31" s="7">
        <v>8</v>
      </c>
      <c r="I31" s="69" t="str">
        <f>VLOOKUP(F31,Sheet1!$A$85:$G$101,2,0)&amp;"_"&amp;VLOOKUP(E31,Sheet1!$A$85:$G$101,2,0)&amp;IF(VLOOKUP(G31,Sheet1!$A$85:$G$101,2,0)=0,"","")</f>
        <v>4_3</v>
      </c>
      <c r="J31" s="6"/>
      <c r="K31" s="6"/>
      <c r="L31" s="6"/>
      <c r="M31" s="6"/>
      <c r="N31" s="6"/>
      <c r="O31" s="6"/>
      <c r="P31" s="6">
        <v>0.05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25">
      <c r="A32" s="9">
        <v>100137</v>
      </c>
      <c r="B32" s="10" t="s">
        <v>1291</v>
      </c>
      <c r="C32" s="6"/>
      <c r="D32" s="13" t="s">
        <v>1469</v>
      </c>
      <c r="E32" s="68" t="s">
        <v>1442</v>
      </c>
      <c r="F32" s="68" t="s">
        <v>1443</v>
      </c>
      <c r="G32" s="68"/>
      <c r="H32" s="7">
        <v>8</v>
      </c>
      <c r="I32" s="69" t="str">
        <f>VLOOKUP(F32,Sheet1!$A$85:$G$101,2,0)&amp;"_"&amp;VLOOKUP(E32,Sheet1!$A$85:$G$101,2,0)&amp;IF(VLOOKUP(G32,Sheet1!$A$85:$G$101,2,0)=0,"","")</f>
        <v>15_10</v>
      </c>
      <c r="J32" s="6"/>
      <c r="K32" s="6"/>
      <c r="L32" s="6"/>
      <c r="M32" s="6"/>
      <c r="N32" s="6"/>
      <c r="O32" s="6"/>
      <c r="P32" s="6">
        <v>0.05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25">
      <c r="A33" s="9">
        <v>100138</v>
      </c>
      <c r="B33" s="10" t="s">
        <v>1497</v>
      </c>
      <c r="C33" s="6"/>
      <c r="D33" s="13" t="s">
        <v>1470</v>
      </c>
      <c r="E33" s="68" t="s">
        <v>1438</v>
      </c>
      <c r="F33" s="68" t="s">
        <v>1440</v>
      </c>
      <c r="G33" s="68" t="s">
        <v>1441</v>
      </c>
      <c r="H33" s="7">
        <v>8</v>
      </c>
      <c r="I33" s="69" t="str">
        <f>VLOOKUP(F33,Sheet1!$A$85:$G$101,2,0)&amp;"_"&amp;VLOOKUP(E33,Sheet1!$A$85:$G$101,2,0)&amp;IF(VLOOKUP(G33,Sheet1!$A$85:$G$101,2,0)=0,"","_"&amp;VLOOKUP(G33,Sheet1!$A$85:$G$101,2,0))</f>
        <v>14_6_12</v>
      </c>
      <c r="J33" s="6"/>
      <c r="K33" s="6"/>
      <c r="L33" s="6"/>
      <c r="M33" s="6"/>
      <c r="N33" s="6"/>
      <c r="O33" s="6"/>
      <c r="P33" s="6">
        <v>0.05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25">
      <c r="A34" s="9">
        <v>100139</v>
      </c>
      <c r="B34" s="10" t="s">
        <v>1296</v>
      </c>
      <c r="C34" s="6"/>
      <c r="D34" s="13" t="s">
        <v>1471</v>
      </c>
      <c r="E34" s="68" t="s">
        <v>1435</v>
      </c>
      <c r="F34" s="68" t="s">
        <v>1436</v>
      </c>
      <c r="G34" s="13"/>
      <c r="H34" s="7">
        <v>8</v>
      </c>
      <c r="I34" s="69" t="str">
        <f>VLOOKUP(F34,Sheet1!$A$85:$G$101,2,0)&amp;"_"&amp;VLOOKUP(E34,Sheet1!$A$85:$G$101,2,0)&amp;IF(VLOOKUP(G34,Sheet1!$A$85:$G$101,2,0)=0,"","")</f>
        <v>13_11</v>
      </c>
      <c r="J34" s="6"/>
      <c r="K34" s="6"/>
      <c r="L34" s="6"/>
      <c r="M34" s="6"/>
      <c r="N34" s="6"/>
      <c r="O34" s="6"/>
      <c r="P34" s="6">
        <v>0.05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25">
      <c r="A35" s="9">
        <v>100141</v>
      </c>
      <c r="B35" s="10" t="s">
        <v>1302</v>
      </c>
      <c r="C35" s="6"/>
      <c r="D35" s="13" t="s">
        <v>1508</v>
      </c>
      <c r="E35" s="68"/>
      <c r="F35" s="68"/>
      <c r="G35" s="68"/>
      <c r="H35" s="7">
        <v>4</v>
      </c>
      <c r="I35" s="69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>
        <v>0.1</v>
      </c>
    </row>
    <row r="36" spans="1:32" x14ac:dyDescent="0.25">
      <c r="A36" s="9">
        <v>100142</v>
      </c>
      <c r="B36" s="10" t="s">
        <v>1305</v>
      </c>
      <c r="C36" s="6"/>
      <c r="D36" s="13" t="s">
        <v>1306</v>
      </c>
      <c r="E36" s="13"/>
      <c r="F36" s="13"/>
      <c r="G36" s="13"/>
      <c r="H36" s="7"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30</v>
      </c>
      <c r="Z36" s="6"/>
      <c r="AA36" s="6"/>
      <c r="AB36" s="6"/>
      <c r="AC36" s="6"/>
      <c r="AD36" s="6"/>
      <c r="AE36" s="6"/>
      <c r="AF36" s="6"/>
    </row>
    <row r="37" spans="1:32" x14ac:dyDescent="0.25">
      <c r="A37" s="9">
        <v>100143</v>
      </c>
      <c r="B37" s="10" t="s">
        <v>1308</v>
      </c>
      <c r="C37" s="6"/>
      <c r="D37" s="68" t="s">
        <v>1461</v>
      </c>
      <c r="E37" s="13"/>
      <c r="F37" s="13"/>
      <c r="G37" s="13"/>
      <c r="H37" s="7">
        <v>0</v>
      </c>
      <c r="I37" s="6"/>
      <c r="J37" s="6"/>
      <c r="K37" s="6">
        <v>0.1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25">
      <c r="A38" s="9">
        <v>100144</v>
      </c>
      <c r="B38" s="10" t="s">
        <v>1311</v>
      </c>
      <c r="C38" s="6"/>
      <c r="D38" s="13" t="s">
        <v>1513</v>
      </c>
      <c r="E38" s="13"/>
      <c r="F38" s="13"/>
      <c r="G38" s="13"/>
      <c r="H38" s="7"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0.2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25">
      <c r="A39" s="9">
        <v>100148</v>
      </c>
      <c r="B39" s="10" t="s">
        <v>1323</v>
      </c>
      <c r="C39" s="6"/>
      <c r="D39" s="68" t="s">
        <v>1462</v>
      </c>
      <c r="E39" s="13"/>
      <c r="F39" s="13"/>
      <c r="G39" s="13"/>
      <c r="H39" s="7"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>
        <v>0.1</v>
      </c>
      <c r="Y39" s="6"/>
      <c r="Z39" s="6"/>
      <c r="AA39" s="6"/>
      <c r="AB39" s="6"/>
      <c r="AC39" s="6"/>
      <c r="AD39" s="6"/>
      <c r="AE39" s="6"/>
      <c r="AF39" s="6"/>
    </row>
    <row r="40" spans="1:32" s="95" customFormat="1" x14ac:dyDescent="0.25">
      <c r="A40" s="102">
        <f>VLOOKUP(B40,密卷!$B:$L,11,0)</f>
        <v>100115</v>
      </c>
      <c r="B40" s="102" t="s">
        <v>1223</v>
      </c>
      <c r="C40" s="103"/>
      <c r="D40" s="15" t="s">
        <v>1511</v>
      </c>
      <c r="E40" s="15"/>
      <c r="F40" s="15"/>
      <c r="G40" s="15"/>
      <c r="H40" s="15"/>
      <c r="K40" s="95">
        <v>0.1</v>
      </c>
    </row>
    <row r="41" spans="1:32" s="104" customFormat="1" x14ac:dyDescent="0.25">
      <c r="A41" s="94">
        <f>VLOOKUP(B41,密卷!$B:$L,11,0)</f>
        <v>100118</v>
      </c>
      <c r="B41" s="94" t="s">
        <v>1232</v>
      </c>
      <c r="C41" s="6"/>
      <c r="D41" s="6" t="s">
        <v>1498</v>
      </c>
      <c r="E41" s="6"/>
      <c r="F41" s="6"/>
      <c r="G41" s="6"/>
      <c r="H41" s="6"/>
      <c r="P41" s="104">
        <v>0.05</v>
      </c>
      <c r="R41" s="104">
        <v>0.1</v>
      </c>
    </row>
    <row r="42" spans="1:32" s="105" customFormat="1" x14ac:dyDescent="0.25">
      <c r="A42" s="100">
        <v>100119</v>
      </c>
      <c r="B42" s="100" t="s">
        <v>1499</v>
      </c>
      <c r="C42" s="101"/>
      <c r="D42" s="97" t="s">
        <v>1510</v>
      </c>
      <c r="E42" s="101"/>
      <c r="F42" s="101"/>
      <c r="G42" s="101"/>
      <c r="H42" s="101"/>
      <c r="J42" s="105">
        <v>-0.1</v>
      </c>
      <c r="N42" s="105">
        <v>0.03</v>
      </c>
      <c r="O42" s="105">
        <v>0.03</v>
      </c>
    </row>
    <row r="43" spans="1:32" s="104" customFormat="1" x14ac:dyDescent="0.25">
      <c r="A43" s="94">
        <f>VLOOKUP(B43,密卷!$B:$L,11,0)</f>
        <v>100122</v>
      </c>
      <c r="B43" s="94" t="s">
        <v>1245</v>
      </c>
      <c r="C43" s="6"/>
      <c r="D43" s="26" t="s">
        <v>1512</v>
      </c>
      <c r="E43" s="6"/>
      <c r="F43" s="6"/>
      <c r="G43" s="6"/>
      <c r="H43" s="6"/>
      <c r="U43" s="104">
        <v>0.2</v>
      </c>
    </row>
    <row r="44" spans="1:32" s="105" customFormat="1" x14ac:dyDescent="0.25">
      <c r="A44" s="100">
        <f>VLOOKUP(B44,密卷!$B:$L,11,0)</f>
        <v>100123</v>
      </c>
      <c r="B44" s="100" t="s">
        <v>1248</v>
      </c>
      <c r="C44" s="101"/>
      <c r="D44" s="97" t="s">
        <v>1514</v>
      </c>
      <c r="E44" s="101"/>
      <c r="F44" s="101"/>
      <c r="G44" s="101"/>
      <c r="H44" s="101"/>
      <c r="L44" s="105">
        <v>0.15</v>
      </c>
      <c r="N44" s="105">
        <v>-0.1</v>
      </c>
    </row>
    <row r="45" spans="1:32" s="105" customFormat="1" x14ac:dyDescent="0.25">
      <c r="A45" s="100">
        <f>VLOOKUP(B45,密卷!$B:$L,11,0)</f>
        <v>100124</v>
      </c>
      <c r="B45" s="100" t="s">
        <v>1251</v>
      </c>
      <c r="C45" s="101"/>
      <c r="D45" s="97" t="s">
        <v>1515</v>
      </c>
      <c r="E45" s="101"/>
      <c r="F45" s="101"/>
      <c r="G45" s="101"/>
      <c r="H45" s="101"/>
      <c r="M45" s="105">
        <v>0.15</v>
      </c>
      <c r="O45" s="105">
        <v>-0.1</v>
      </c>
    </row>
    <row r="46" spans="1:32" s="105" customFormat="1" x14ac:dyDescent="0.25">
      <c r="A46" s="100">
        <f>VLOOKUP(B46,密卷!$B:$L,11,0)</f>
        <v>100130</v>
      </c>
      <c r="B46" s="100" t="s">
        <v>1269</v>
      </c>
      <c r="C46" s="101"/>
      <c r="D46" s="97" t="s">
        <v>1516</v>
      </c>
      <c r="E46" s="101"/>
      <c r="F46" s="101"/>
      <c r="G46" s="101"/>
      <c r="H46" s="101"/>
      <c r="J46" s="105">
        <v>0.05</v>
      </c>
      <c r="K46" s="105">
        <v>-0.05</v>
      </c>
    </row>
    <row r="47" spans="1:32" s="105" customFormat="1" x14ac:dyDescent="0.25">
      <c r="A47" s="100">
        <f>VLOOKUP(B47,密卷!$B:$L,11,0)</f>
        <v>100140</v>
      </c>
      <c r="B47" s="100" t="s">
        <v>1299</v>
      </c>
      <c r="C47" s="101"/>
      <c r="D47" s="97" t="s">
        <v>1505</v>
      </c>
      <c r="E47" s="101"/>
      <c r="F47" s="101"/>
      <c r="G47" s="101"/>
      <c r="H47" s="101"/>
      <c r="W47" s="105">
        <v>0.1</v>
      </c>
      <c r="Y47" s="105">
        <v>-80</v>
      </c>
    </row>
    <row r="48" spans="1:32" s="105" customFormat="1" x14ac:dyDescent="0.25">
      <c r="A48" s="100">
        <f>VLOOKUP(B48,密卷!$B:$L,11,0)</f>
        <v>100145</v>
      </c>
      <c r="B48" s="97" t="s">
        <v>1314</v>
      </c>
      <c r="C48" s="101"/>
      <c r="D48" s="97" t="s">
        <v>1507</v>
      </c>
      <c r="E48" s="101"/>
      <c r="F48" s="101"/>
      <c r="G48" s="101"/>
      <c r="H48" s="101"/>
      <c r="J48" s="105">
        <v>-0.05</v>
      </c>
      <c r="V48" s="105">
        <v>0.05</v>
      </c>
    </row>
    <row r="49" spans="1:25" s="105" customFormat="1" x14ac:dyDescent="0.25">
      <c r="A49" s="100">
        <f>VLOOKUP(B49,密卷!$B:$L,11,0)</f>
        <v>100146</v>
      </c>
      <c r="B49" s="100" t="s">
        <v>1317</v>
      </c>
      <c r="C49" s="101"/>
      <c r="D49" s="97" t="s">
        <v>1517</v>
      </c>
      <c r="E49" s="101"/>
      <c r="F49" s="101"/>
      <c r="G49" s="101"/>
      <c r="H49" s="101"/>
      <c r="T49" s="105">
        <v>-0.2</v>
      </c>
      <c r="Y49" s="105">
        <v>30</v>
      </c>
    </row>
    <row r="50" spans="1:25" s="104" customFormat="1" x14ac:dyDescent="0.25">
      <c r="A50" s="94">
        <f>VLOOKUP(B50,密卷!$B:$L,11,0)</f>
        <v>100147</v>
      </c>
      <c r="B50" s="94" t="s">
        <v>1320</v>
      </c>
      <c r="C50" s="6"/>
      <c r="D50" s="26" t="s">
        <v>1506</v>
      </c>
      <c r="E50" s="68" t="s">
        <v>1438</v>
      </c>
      <c r="F50" s="6"/>
      <c r="G50" s="6"/>
      <c r="H50" s="6">
        <v>1</v>
      </c>
      <c r="I50" s="69">
        <v>6</v>
      </c>
      <c r="P50" s="104">
        <v>0.1</v>
      </c>
    </row>
    <row r="51" spans="1:25" s="105" customFormat="1" x14ac:dyDescent="0.25">
      <c r="A51" s="100">
        <f>VLOOKUP(B51,密卷!$B:$L,11,0)</f>
        <v>100149</v>
      </c>
      <c r="B51" s="97" t="s">
        <v>1326</v>
      </c>
      <c r="C51" s="101"/>
      <c r="D51" s="97" t="s">
        <v>1509</v>
      </c>
      <c r="E51" s="101"/>
      <c r="F51" s="101"/>
      <c r="G51" s="101"/>
      <c r="H51" s="101"/>
      <c r="M51" s="105">
        <v>-0.05</v>
      </c>
      <c r="N51" s="105">
        <v>-0.05</v>
      </c>
    </row>
    <row r="52" spans="1:25" s="105" customFormat="1" x14ac:dyDescent="0.25">
      <c r="A52" s="100">
        <f>VLOOKUP(B52,密卷!$B:$L,11,0)</f>
        <v>100150</v>
      </c>
      <c r="B52" s="100" t="s">
        <v>1329</v>
      </c>
      <c r="C52" s="101"/>
      <c r="D52" s="101" t="s">
        <v>1504</v>
      </c>
      <c r="E52" s="101"/>
      <c r="F52" s="101"/>
      <c r="G52" s="101"/>
      <c r="H52" s="101"/>
      <c r="Q52" s="105">
        <v>0.1</v>
      </c>
      <c r="S52" s="105">
        <v>0.1</v>
      </c>
    </row>
  </sheetData>
  <autoFilter ref="A1:AF51" xr:uid="{00000000-0001-0000-0500-000000000000}"/>
  <phoneticPr fontId="2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1"/>
  <sheetViews>
    <sheetView topLeftCell="A82" workbookViewId="0">
      <selection activeCell="A87" sqref="A87"/>
    </sheetView>
  </sheetViews>
  <sheetFormatPr defaultColWidth="9" defaultRowHeight="14.4" x14ac:dyDescent="0.25"/>
  <sheetData>
    <row r="1" spans="1:4" x14ac:dyDescent="0.25">
      <c r="A1" s="99" t="s">
        <v>1410</v>
      </c>
      <c r="B1" t="s">
        <v>1334</v>
      </c>
      <c r="C1" t="s">
        <v>1411</v>
      </c>
      <c r="D1" t="s">
        <v>1412</v>
      </c>
    </row>
    <row r="2" spans="1:4" x14ac:dyDescent="0.25">
      <c r="A2" s="99"/>
      <c r="B2" s="2">
        <v>0.1</v>
      </c>
      <c r="C2" s="2">
        <v>0.1</v>
      </c>
      <c r="D2" s="2">
        <v>0.1</v>
      </c>
    </row>
    <row r="5" spans="1:4" x14ac:dyDescent="0.25">
      <c r="A5" s="99" t="s">
        <v>1413</v>
      </c>
      <c r="B5" t="s">
        <v>1414</v>
      </c>
      <c r="C5" t="s">
        <v>1339</v>
      </c>
      <c r="D5" t="s">
        <v>1415</v>
      </c>
    </row>
    <row r="6" spans="1:4" x14ac:dyDescent="0.25">
      <c r="A6" s="99"/>
      <c r="B6" s="2">
        <v>0.1</v>
      </c>
      <c r="C6" s="2">
        <v>0.05</v>
      </c>
      <c r="D6" s="2">
        <v>0.1</v>
      </c>
    </row>
    <row r="12" spans="1:4" x14ac:dyDescent="0.25">
      <c r="A12" t="s">
        <v>1416</v>
      </c>
    </row>
    <row r="13" spans="1:4" x14ac:dyDescent="0.25">
      <c r="A13" t="s">
        <v>1417</v>
      </c>
    </row>
    <row r="17" spans="1:11" x14ac:dyDescent="0.25">
      <c r="B17" t="s">
        <v>1418</v>
      </c>
      <c r="C17" t="s">
        <v>1419</v>
      </c>
      <c r="D17" t="s">
        <v>1420</v>
      </c>
    </row>
    <row r="18" spans="1:11" x14ac:dyDescent="0.25">
      <c r="B18">
        <v>1</v>
      </c>
    </row>
    <row r="19" spans="1:11" x14ac:dyDescent="0.25">
      <c r="B19">
        <v>2</v>
      </c>
      <c r="C19">
        <v>1</v>
      </c>
      <c r="D19">
        <v>1</v>
      </c>
    </row>
    <row r="20" spans="1:11" x14ac:dyDescent="0.25">
      <c r="B20">
        <v>3</v>
      </c>
    </row>
    <row r="21" spans="1:11" x14ac:dyDescent="0.25">
      <c r="B21">
        <v>4</v>
      </c>
      <c r="C21">
        <v>2</v>
      </c>
      <c r="D21">
        <v>2</v>
      </c>
    </row>
    <row r="22" spans="1:11" x14ac:dyDescent="0.25">
      <c r="B22">
        <v>5</v>
      </c>
    </row>
    <row r="23" spans="1:11" x14ac:dyDescent="0.25">
      <c r="B23">
        <v>6</v>
      </c>
      <c r="C23">
        <v>3</v>
      </c>
      <c r="D23">
        <v>3</v>
      </c>
    </row>
    <row r="24" spans="1:11" x14ac:dyDescent="0.25">
      <c r="B24">
        <v>7</v>
      </c>
    </row>
    <row r="25" spans="1:11" x14ac:dyDescent="0.25">
      <c r="B25">
        <v>8</v>
      </c>
      <c r="C25">
        <v>4</v>
      </c>
      <c r="D25">
        <v>4</v>
      </c>
    </row>
    <row r="26" spans="1:11" x14ac:dyDescent="0.25">
      <c r="B26">
        <v>9</v>
      </c>
    </row>
    <row r="27" spans="1:11" x14ac:dyDescent="0.25">
      <c r="B27">
        <v>10</v>
      </c>
      <c r="C27">
        <v>5</v>
      </c>
      <c r="D27">
        <v>5</v>
      </c>
    </row>
    <row r="29" spans="1:11" ht="57.6" x14ac:dyDescent="0.25">
      <c r="A29" s="3" t="s">
        <v>1165</v>
      </c>
      <c r="B29" s="3" t="s">
        <v>1166</v>
      </c>
      <c r="C29" s="4" t="s">
        <v>1167</v>
      </c>
      <c r="D29" s="5" t="s">
        <v>1168</v>
      </c>
      <c r="E29" s="6" t="s">
        <v>1169</v>
      </c>
      <c r="F29" s="3" t="s">
        <v>1170</v>
      </c>
      <c r="G29" s="3" t="s">
        <v>1171</v>
      </c>
      <c r="H29" s="3" t="s">
        <v>1172</v>
      </c>
      <c r="I29" s="3" t="s">
        <v>1173</v>
      </c>
      <c r="J29" s="15" t="s">
        <v>1174</v>
      </c>
      <c r="K29" s="15" t="s">
        <v>1175</v>
      </c>
    </row>
    <row r="30" spans="1:11" ht="28.8" x14ac:dyDescent="0.25">
      <c r="A30" s="7" t="s">
        <v>13</v>
      </c>
      <c r="B30" s="7" t="s">
        <v>14</v>
      </c>
      <c r="C30" s="8" t="s">
        <v>1176</v>
      </c>
      <c r="D30" s="5" t="s">
        <v>693</v>
      </c>
      <c r="E30" s="9" t="s">
        <v>1177</v>
      </c>
      <c r="F30" s="7" t="s">
        <v>270</v>
      </c>
      <c r="G30" s="7" t="s">
        <v>12</v>
      </c>
      <c r="H30" s="7" t="s">
        <v>1178</v>
      </c>
      <c r="I30" s="7" t="s">
        <v>16</v>
      </c>
      <c r="J30" s="15" t="s">
        <v>1179</v>
      </c>
      <c r="K30" s="15"/>
    </row>
    <row r="31" spans="1:11" ht="15.6" x14ac:dyDescent="0.25">
      <c r="A31" s="9">
        <v>100101</v>
      </c>
      <c r="B31" s="10" t="s">
        <v>1180</v>
      </c>
      <c r="C31" s="11">
        <v>95410101</v>
      </c>
      <c r="D31" s="12">
        <v>0</v>
      </c>
      <c r="E31" s="13" t="s">
        <v>1181</v>
      </c>
      <c r="F31" s="14" t="s">
        <v>1182</v>
      </c>
      <c r="G31" s="9" t="s">
        <v>1183</v>
      </c>
      <c r="H31" s="15">
        <v>1</v>
      </c>
      <c r="I31" s="15">
        <v>1001</v>
      </c>
      <c r="J31" s="15"/>
      <c r="K31" s="13" t="s">
        <v>1184</v>
      </c>
    </row>
    <row r="32" spans="1:11" ht="15.6" x14ac:dyDescent="0.25">
      <c r="A32" s="9">
        <v>100102</v>
      </c>
      <c r="B32" s="10" t="s">
        <v>1185</v>
      </c>
      <c r="C32" s="11">
        <v>95410102</v>
      </c>
      <c r="D32" s="16"/>
      <c r="E32" s="13" t="s">
        <v>1186</v>
      </c>
      <c r="F32" s="14" t="s">
        <v>1182</v>
      </c>
      <c r="G32" s="9" t="s">
        <v>1183</v>
      </c>
      <c r="H32" s="15">
        <v>1</v>
      </c>
      <c r="I32" s="15">
        <v>1001</v>
      </c>
      <c r="J32" s="15"/>
      <c r="K32" s="13" t="s">
        <v>1187</v>
      </c>
    </row>
    <row r="33" spans="1:11" ht="15.6" x14ac:dyDescent="0.25">
      <c r="A33" s="9">
        <v>100103</v>
      </c>
      <c r="B33" s="10" t="s">
        <v>1188</v>
      </c>
      <c r="C33" s="11">
        <v>95410103</v>
      </c>
      <c r="D33" s="12">
        <v>0</v>
      </c>
      <c r="E33" s="13" t="s">
        <v>1189</v>
      </c>
      <c r="F33" s="14" t="s">
        <v>1182</v>
      </c>
      <c r="G33" s="9" t="s">
        <v>1183</v>
      </c>
      <c r="H33" s="15">
        <v>1</v>
      </c>
      <c r="I33" s="15">
        <v>1001</v>
      </c>
      <c r="J33" s="15"/>
      <c r="K33" s="13" t="s">
        <v>1190</v>
      </c>
    </row>
    <row r="34" spans="1:11" ht="45" x14ac:dyDescent="0.25">
      <c r="A34" s="9">
        <v>100104</v>
      </c>
      <c r="B34" s="10" t="s">
        <v>1191</v>
      </c>
      <c r="C34" s="11">
        <v>95410104</v>
      </c>
      <c r="D34" s="12">
        <v>0</v>
      </c>
      <c r="E34" s="17" t="s">
        <v>1192</v>
      </c>
      <c r="F34" s="14" t="s">
        <v>1182</v>
      </c>
      <c r="G34" s="9" t="s">
        <v>1183</v>
      </c>
      <c r="H34" s="15">
        <v>1</v>
      </c>
      <c r="I34" s="15">
        <v>1001</v>
      </c>
      <c r="J34" s="15"/>
      <c r="K34" s="13" t="s">
        <v>1193</v>
      </c>
    </row>
    <row r="35" spans="1:11" ht="45" x14ac:dyDescent="0.25">
      <c r="A35" s="9">
        <v>100105</v>
      </c>
      <c r="B35" s="10" t="s">
        <v>1194</v>
      </c>
      <c r="C35" s="11">
        <v>95410105</v>
      </c>
      <c r="D35" s="12">
        <v>0</v>
      </c>
      <c r="E35" s="17" t="s">
        <v>1195</v>
      </c>
      <c r="F35" s="14" t="s">
        <v>1182</v>
      </c>
      <c r="G35" s="9" t="s">
        <v>1183</v>
      </c>
      <c r="H35" s="15">
        <v>1</v>
      </c>
      <c r="I35" s="15">
        <v>1001</v>
      </c>
      <c r="J35" s="15"/>
      <c r="K35" s="13" t="s">
        <v>1196</v>
      </c>
    </row>
    <row r="36" spans="1:11" ht="15.6" x14ac:dyDescent="0.25">
      <c r="A36" s="9">
        <v>100106</v>
      </c>
      <c r="B36" s="10" t="s">
        <v>1197</v>
      </c>
      <c r="C36" s="11">
        <v>95410106</v>
      </c>
      <c r="D36" s="12">
        <v>0</v>
      </c>
      <c r="E36" s="13" t="s">
        <v>1198</v>
      </c>
      <c r="F36" s="14" t="s">
        <v>1182</v>
      </c>
      <c r="G36" s="9" t="s">
        <v>1183</v>
      </c>
      <c r="H36" s="15">
        <v>1</v>
      </c>
      <c r="I36" s="15">
        <v>1001</v>
      </c>
      <c r="J36" s="15"/>
      <c r="K36" s="13" t="s">
        <v>1199</v>
      </c>
    </row>
    <row r="37" spans="1:11" ht="15.6" x14ac:dyDescent="0.25">
      <c r="A37" s="9">
        <v>100107</v>
      </c>
      <c r="B37" s="10" t="s">
        <v>1200</v>
      </c>
      <c r="C37" s="11">
        <v>95410107</v>
      </c>
      <c r="D37" s="12">
        <v>0</v>
      </c>
      <c r="E37" s="13" t="s">
        <v>1201</v>
      </c>
      <c r="F37" s="14" t="s">
        <v>1182</v>
      </c>
      <c r="G37" s="9" t="s">
        <v>1183</v>
      </c>
      <c r="H37" s="15">
        <v>1</v>
      </c>
      <c r="I37" s="15">
        <v>1002</v>
      </c>
      <c r="J37" s="15"/>
      <c r="K37" s="13" t="s">
        <v>1202</v>
      </c>
    </row>
    <row r="38" spans="1:11" ht="15.6" x14ac:dyDescent="0.25">
      <c r="A38" s="9">
        <v>100108</v>
      </c>
      <c r="B38" s="10" t="s">
        <v>1203</v>
      </c>
      <c r="C38" s="11">
        <v>95410108</v>
      </c>
      <c r="D38" s="12">
        <v>0</v>
      </c>
      <c r="E38" s="13" t="s">
        <v>1204</v>
      </c>
      <c r="F38" s="14" t="s">
        <v>1182</v>
      </c>
      <c r="G38" s="9" t="s">
        <v>1183</v>
      </c>
      <c r="H38" s="15">
        <v>1</v>
      </c>
      <c r="I38" s="15">
        <v>1002</v>
      </c>
      <c r="J38" s="15"/>
      <c r="K38" s="13" t="s">
        <v>1205</v>
      </c>
    </row>
    <row r="39" spans="1:11" ht="15.6" x14ac:dyDescent="0.25">
      <c r="A39" s="9">
        <v>100109</v>
      </c>
      <c r="B39" s="10" t="s">
        <v>1206</v>
      </c>
      <c r="C39" s="11">
        <v>95410109</v>
      </c>
      <c r="D39" s="12">
        <v>0</v>
      </c>
      <c r="E39" s="13" t="s">
        <v>1207</v>
      </c>
      <c r="F39" s="14" t="s">
        <v>1182</v>
      </c>
      <c r="G39" s="9" t="s">
        <v>1183</v>
      </c>
      <c r="H39" s="15">
        <v>1</v>
      </c>
      <c r="I39" s="15">
        <v>1002</v>
      </c>
      <c r="J39" s="15"/>
      <c r="K39" s="13" t="s">
        <v>1208</v>
      </c>
    </row>
    <row r="40" spans="1:11" ht="15.6" x14ac:dyDescent="0.25">
      <c r="A40" s="9">
        <v>100110</v>
      </c>
      <c r="B40" s="10" t="s">
        <v>1209</v>
      </c>
      <c r="C40" s="11">
        <v>95410110</v>
      </c>
      <c r="D40" s="12">
        <v>0</v>
      </c>
      <c r="E40" s="13" t="s">
        <v>1210</v>
      </c>
      <c r="F40" s="14" t="s">
        <v>1182</v>
      </c>
      <c r="G40" s="9" t="s">
        <v>1183</v>
      </c>
      <c r="H40" s="15">
        <v>1</v>
      </c>
      <c r="I40" s="15">
        <v>1002</v>
      </c>
      <c r="J40" s="15"/>
      <c r="K40" s="13" t="s">
        <v>1211</v>
      </c>
    </row>
    <row r="41" spans="1:11" ht="15.6" x14ac:dyDescent="0.25">
      <c r="A41" s="9">
        <v>100111</v>
      </c>
      <c r="B41" s="10" t="s">
        <v>1212</v>
      </c>
      <c r="C41" s="11">
        <v>95410111</v>
      </c>
      <c r="D41" s="12">
        <v>0</v>
      </c>
      <c r="E41" s="13" t="s">
        <v>1213</v>
      </c>
      <c r="F41" s="14" t="s">
        <v>1182</v>
      </c>
      <c r="G41" s="9" t="s">
        <v>1183</v>
      </c>
      <c r="H41" s="15">
        <v>1</v>
      </c>
      <c r="I41" s="15">
        <v>1002</v>
      </c>
      <c r="J41" s="15"/>
      <c r="K41" s="13" t="s">
        <v>1199</v>
      </c>
    </row>
    <row r="42" spans="1:11" ht="15.6" x14ac:dyDescent="0.25">
      <c r="A42" s="9">
        <v>100112</v>
      </c>
      <c r="B42" s="10" t="s">
        <v>1214</v>
      </c>
      <c r="C42" s="11">
        <v>95410112</v>
      </c>
      <c r="D42" s="12">
        <v>0</v>
      </c>
      <c r="E42" s="13" t="s">
        <v>1215</v>
      </c>
      <c r="F42" s="14" t="s">
        <v>1182</v>
      </c>
      <c r="G42" s="9" t="s">
        <v>1183</v>
      </c>
      <c r="H42" s="15">
        <v>1</v>
      </c>
      <c r="I42" s="15">
        <v>1002</v>
      </c>
      <c r="J42" s="15"/>
      <c r="K42" s="13" t="s">
        <v>1216</v>
      </c>
    </row>
    <row r="43" spans="1:11" ht="15.6" x14ac:dyDescent="0.25">
      <c r="A43" s="9">
        <v>100113</v>
      </c>
      <c r="B43" s="10" t="s">
        <v>1217</v>
      </c>
      <c r="C43" s="11">
        <v>95410113</v>
      </c>
      <c r="D43" s="12">
        <v>0</v>
      </c>
      <c r="E43" s="13" t="s">
        <v>1218</v>
      </c>
      <c r="F43" s="14" t="s">
        <v>1182</v>
      </c>
      <c r="G43" s="9" t="s">
        <v>1183</v>
      </c>
      <c r="H43" s="15">
        <v>1</v>
      </c>
      <c r="I43" s="15">
        <v>1003</v>
      </c>
      <c r="J43" s="15"/>
      <c r="K43" s="13" t="s">
        <v>1219</v>
      </c>
    </row>
    <row r="44" spans="1:11" ht="15.6" x14ac:dyDescent="0.25">
      <c r="A44" s="9">
        <v>100114</v>
      </c>
      <c r="B44" s="10" t="s">
        <v>1220</v>
      </c>
      <c r="C44" s="11">
        <v>95410114</v>
      </c>
      <c r="D44" s="12">
        <v>0</v>
      </c>
      <c r="E44" s="13" t="s">
        <v>1221</v>
      </c>
      <c r="F44" s="14" t="s">
        <v>1182</v>
      </c>
      <c r="G44" s="9" t="s">
        <v>1183</v>
      </c>
      <c r="H44" s="15">
        <v>1</v>
      </c>
      <c r="I44" s="15">
        <v>1003</v>
      </c>
      <c r="J44" s="15"/>
      <c r="K44" s="13" t="s">
        <v>1222</v>
      </c>
    </row>
    <row r="45" spans="1:11" ht="15.6" x14ac:dyDescent="0.25">
      <c r="A45" s="9">
        <v>100115</v>
      </c>
      <c r="B45" s="10" t="s">
        <v>1223</v>
      </c>
      <c r="C45" s="11">
        <v>95410115</v>
      </c>
      <c r="D45" s="12">
        <v>0</v>
      </c>
      <c r="E45" s="13" t="s">
        <v>1224</v>
      </c>
      <c r="F45" s="14" t="s">
        <v>1182</v>
      </c>
      <c r="G45" s="9" t="s">
        <v>1183</v>
      </c>
      <c r="H45" s="15">
        <v>1</v>
      </c>
      <c r="I45" s="15">
        <v>1003</v>
      </c>
      <c r="J45" s="15"/>
      <c r="K45" s="13" t="s">
        <v>1225</v>
      </c>
    </row>
    <row r="46" spans="1:11" ht="15.6" x14ac:dyDescent="0.25">
      <c r="A46" s="9">
        <v>100116</v>
      </c>
      <c r="B46" s="10" t="s">
        <v>1226</v>
      </c>
      <c r="C46" s="11">
        <v>95410116</v>
      </c>
      <c r="D46" s="12">
        <v>0</v>
      </c>
      <c r="E46" s="13" t="s">
        <v>1227</v>
      </c>
      <c r="F46" s="14" t="s">
        <v>1182</v>
      </c>
      <c r="G46" s="9" t="s">
        <v>1183</v>
      </c>
      <c r="H46" s="15">
        <v>1</v>
      </c>
      <c r="I46" s="15">
        <v>1004</v>
      </c>
      <c r="J46" s="15"/>
      <c r="K46" s="13" t="s">
        <v>1228</v>
      </c>
    </row>
    <row r="47" spans="1:11" ht="36" x14ac:dyDescent="0.25">
      <c r="A47" s="9">
        <v>100117</v>
      </c>
      <c r="B47" s="10" t="s">
        <v>1229</v>
      </c>
      <c r="C47" s="11">
        <v>95410117</v>
      </c>
      <c r="D47" s="12">
        <v>0</v>
      </c>
      <c r="E47" s="13" t="s">
        <v>1230</v>
      </c>
      <c r="F47" s="14" t="s">
        <v>1182</v>
      </c>
      <c r="G47" s="9" t="s">
        <v>1183</v>
      </c>
      <c r="H47" s="15">
        <v>1</v>
      </c>
      <c r="I47" s="15">
        <v>1004</v>
      </c>
      <c r="J47" s="15"/>
      <c r="K47" s="17" t="s">
        <v>1231</v>
      </c>
    </row>
    <row r="48" spans="1:11" ht="15.6" x14ac:dyDescent="0.25">
      <c r="A48" s="9">
        <v>100118</v>
      </c>
      <c r="B48" s="10" t="s">
        <v>1232</v>
      </c>
      <c r="C48" s="11">
        <v>95410118</v>
      </c>
      <c r="D48" s="12">
        <v>0</v>
      </c>
      <c r="E48" s="13" t="s">
        <v>1233</v>
      </c>
      <c r="F48" s="14" t="s">
        <v>1182</v>
      </c>
      <c r="G48" s="9" t="s">
        <v>1183</v>
      </c>
      <c r="H48" s="15">
        <v>1</v>
      </c>
      <c r="I48" s="15">
        <v>1004</v>
      </c>
      <c r="J48" s="15"/>
      <c r="K48" s="13" t="s">
        <v>1234</v>
      </c>
    </row>
    <row r="49" spans="1:11" ht="45" x14ac:dyDescent="0.25">
      <c r="A49" s="9">
        <v>100119</v>
      </c>
      <c r="B49" s="10" t="s">
        <v>1235</v>
      </c>
      <c r="C49" s="11">
        <v>95410119</v>
      </c>
      <c r="D49" s="12">
        <v>0</v>
      </c>
      <c r="E49" s="13" t="s">
        <v>1236</v>
      </c>
      <c r="F49" s="14" t="s">
        <v>1182</v>
      </c>
      <c r="G49" s="9" t="s">
        <v>1183</v>
      </c>
      <c r="H49" s="15">
        <v>1</v>
      </c>
      <c r="I49" s="15">
        <v>1005</v>
      </c>
      <c r="J49" s="15"/>
      <c r="K49" s="17" t="s">
        <v>1237</v>
      </c>
    </row>
    <row r="50" spans="1:11" ht="15.6" x14ac:dyDescent="0.25">
      <c r="A50" s="9">
        <v>100120</v>
      </c>
      <c r="B50" s="10" t="s">
        <v>1238</v>
      </c>
      <c r="C50" s="11">
        <v>95410120</v>
      </c>
      <c r="D50" s="12">
        <v>0</v>
      </c>
      <c r="E50" s="13" t="s">
        <v>1239</v>
      </c>
      <c r="F50" s="14" t="s">
        <v>1182</v>
      </c>
      <c r="G50" s="9" t="s">
        <v>1183</v>
      </c>
      <c r="H50" s="15">
        <v>1</v>
      </c>
      <c r="I50" s="15">
        <v>1005</v>
      </c>
      <c r="J50" s="15"/>
      <c r="K50" s="13" t="s">
        <v>1240</v>
      </c>
    </row>
    <row r="51" spans="1:11" ht="15.6" x14ac:dyDescent="0.25">
      <c r="A51" s="9">
        <v>100121</v>
      </c>
      <c r="B51" s="10" t="s">
        <v>1241</v>
      </c>
      <c r="C51" s="11">
        <v>95410121</v>
      </c>
      <c r="D51" s="12">
        <v>0</v>
      </c>
      <c r="E51" s="13" t="s">
        <v>1242</v>
      </c>
      <c r="F51" s="14" t="s">
        <v>1182</v>
      </c>
      <c r="G51" s="9" t="s">
        <v>1243</v>
      </c>
      <c r="H51" s="15">
        <v>2</v>
      </c>
      <c r="I51" s="15">
        <v>2001</v>
      </c>
      <c r="J51" s="15"/>
      <c r="K51" s="13" t="s">
        <v>1244</v>
      </c>
    </row>
    <row r="52" spans="1:11" ht="15.6" x14ac:dyDescent="0.25">
      <c r="A52" s="9">
        <v>100122</v>
      </c>
      <c r="B52" s="10" t="s">
        <v>1245</v>
      </c>
      <c r="C52" s="11">
        <v>95410122</v>
      </c>
      <c r="D52" s="12">
        <v>0</v>
      </c>
      <c r="E52" s="13" t="s">
        <v>1246</v>
      </c>
      <c r="F52" s="14" t="s">
        <v>1182</v>
      </c>
      <c r="G52" s="9" t="s">
        <v>1243</v>
      </c>
      <c r="H52" s="15">
        <v>2</v>
      </c>
      <c r="I52" s="15">
        <v>2001</v>
      </c>
      <c r="J52" s="15"/>
      <c r="K52" s="13" t="s">
        <v>1247</v>
      </c>
    </row>
    <row r="53" spans="1:11" ht="15.6" x14ac:dyDescent="0.25">
      <c r="A53" s="9">
        <v>100123</v>
      </c>
      <c r="B53" s="18" t="s">
        <v>1248</v>
      </c>
      <c r="C53" s="11">
        <v>95410123</v>
      </c>
      <c r="D53" s="12">
        <v>0</v>
      </c>
      <c r="E53" s="13" t="s">
        <v>1249</v>
      </c>
      <c r="F53" s="14" t="s">
        <v>1182</v>
      </c>
      <c r="G53" s="9" t="s">
        <v>1243</v>
      </c>
      <c r="H53" s="15">
        <v>2</v>
      </c>
      <c r="I53" s="15">
        <v>2002</v>
      </c>
      <c r="J53" s="15"/>
      <c r="K53" s="19" t="s">
        <v>1250</v>
      </c>
    </row>
    <row r="54" spans="1:11" ht="15.6" x14ac:dyDescent="0.25">
      <c r="A54" s="9">
        <v>100124</v>
      </c>
      <c r="B54" s="18" t="s">
        <v>1251</v>
      </c>
      <c r="C54" s="11">
        <v>95410124</v>
      </c>
      <c r="D54" s="12">
        <v>0</v>
      </c>
      <c r="E54" s="13" t="s">
        <v>1252</v>
      </c>
      <c r="F54" s="14" t="s">
        <v>1182</v>
      </c>
      <c r="G54" s="9" t="s">
        <v>1243</v>
      </c>
      <c r="H54" s="15">
        <v>2</v>
      </c>
      <c r="I54" s="15">
        <v>2002</v>
      </c>
      <c r="J54" s="15"/>
      <c r="K54" s="19" t="s">
        <v>1253</v>
      </c>
    </row>
    <row r="55" spans="1:11" ht="15.6" x14ac:dyDescent="0.25">
      <c r="A55" s="9">
        <v>100125</v>
      </c>
      <c r="B55" s="10" t="s">
        <v>1254</v>
      </c>
      <c r="C55" s="11">
        <v>95410125</v>
      </c>
      <c r="D55" s="12">
        <v>0</v>
      </c>
      <c r="E55" s="13" t="s">
        <v>1255</v>
      </c>
      <c r="F55" s="14" t="s">
        <v>1182</v>
      </c>
      <c r="G55" s="9" t="s">
        <v>1243</v>
      </c>
      <c r="H55" s="15">
        <v>2</v>
      </c>
      <c r="I55" s="15">
        <v>2002</v>
      </c>
      <c r="J55" s="15"/>
      <c r="K55" s="13" t="s">
        <v>1256</v>
      </c>
    </row>
    <row r="56" spans="1:11" ht="15.6" x14ac:dyDescent="0.25">
      <c r="A56" s="9">
        <v>100126</v>
      </c>
      <c r="B56" s="10" t="s">
        <v>1257</v>
      </c>
      <c r="C56" s="11">
        <v>95410126</v>
      </c>
      <c r="D56" s="12">
        <v>0</v>
      </c>
      <c r="E56" s="13" t="s">
        <v>1258</v>
      </c>
      <c r="F56" s="14" t="s">
        <v>1182</v>
      </c>
      <c r="G56" s="9" t="s">
        <v>1243</v>
      </c>
      <c r="H56" s="15">
        <v>2</v>
      </c>
      <c r="I56" s="15">
        <v>2003</v>
      </c>
      <c r="J56" s="15"/>
      <c r="K56" s="13" t="s">
        <v>1259</v>
      </c>
    </row>
    <row r="57" spans="1:11" ht="15.6" x14ac:dyDescent="0.25">
      <c r="A57" s="9">
        <v>100127</v>
      </c>
      <c r="B57" s="10" t="s">
        <v>1260</v>
      </c>
      <c r="C57" s="11">
        <v>95410127</v>
      </c>
      <c r="D57" s="12">
        <v>0</v>
      </c>
      <c r="E57" s="13" t="s">
        <v>1261</v>
      </c>
      <c r="F57" s="14" t="s">
        <v>1182</v>
      </c>
      <c r="G57" s="9" t="s">
        <v>1243</v>
      </c>
      <c r="H57" s="15">
        <v>2</v>
      </c>
      <c r="I57" s="15">
        <v>2003</v>
      </c>
      <c r="J57" s="15"/>
      <c r="K57" s="13" t="s">
        <v>1262</v>
      </c>
    </row>
    <row r="58" spans="1:11" ht="15.6" x14ac:dyDescent="0.25">
      <c r="A58" s="9">
        <v>100128</v>
      </c>
      <c r="B58" s="10" t="s">
        <v>1263</v>
      </c>
      <c r="C58" s="11">
        <v>95410128</v>
      </c>
      <c r="D58" s="12">
        <v>0</v>
      </c>
      <c r="E58" s="13" t="s">
        <v>1264</v>
      </c>
      <c r="F58" s="14" t="s">
        <v>1182</v>
      </c>
      <c r="G58" s="9" t="s">
        <v>1243</v>
      </c>
      <c r="H58" s="15">
        <v>2</v>
      </c>
      <c r="I58" s="15">
        <v>2004</v>
      </c>
      <c r="J58" s="15"/>
      <c r="K58" s="13" t="s">
        <v>1265</v>
      </c>
    </row>
    <row r="59" spans="1:11" ht="15.6" x14ac:dyDescent="0.25">
      <c r="A59" s="9">
        <v>100129</v>
      </c>
      <c r="B59" s="10" t="s">
        <v>1266</v>
      </c>
      <c r="C59" s="11">
        <v>95410129</v>
      </c>
      <c r="D59" s="12">
        <v>0</v>
      </c>
      <c r="E59" s="13" t="s">
        <v>1267</v>
      </c>
      <c r="F59" s="14" t="s">
        <v>1182</v>
      </c>
      <c r="G59" s="9" t="s">
        <v>1243</v>
      </c>
      <c r="H59" s="15">
        <v>2</v>
      </c>
      <c r="I59" s="15">
        <v>2004</v>
      </c>
      <c r="J59" s="15"/>
      <c r="K59" s="13" t="s">
        <v>1268</v>
      </c>
    </row>
    <row r="60" spans="1:11" ht="15.6" x14ac:dyDescent="0.25">
      <c r="A60" s="9">
        <v>100130</v>
      </c>
      <c r="B60" s="10" t="s">
        <v>1269</v>
      </c>
      <c r="C60" s="11">
        <v>95410130</v>
      </c>
      <c r="D60" s="12">
        <v>0</v>
      </c>
      <c r="E60" s="13" t="s">
        <v>1270</v>
      </c>
      <c r="F60" s="14" t="s">
        <v>1182</v>
      </c>
      <c r="G60" s="9" t="s">
        <v>1243</v>
      </c>
      <c r="H60" s="15">
        <v>2</v>
      </c>
      <c r="I60" s="15">
        <v>2005</v>
      </c>
      <c r="J60" s="15"/>
      <c r="K60" s="13" t="s">
        <v>1271</v>
      </c>
    </row>
    <row r="61" spans="1:11" ht="15.6" x14ac:dyDescent="0.25">
      <c r="A61" s="9">
        <v>100131</v>
      </c>
      <c r="B61" s="10" t="s">
        <v>1272</v>
      </c>
      <c r="C61" s="11">
        <v>95410131</v>
      </c>
      <c r="D61" s="12">
        <v>0</v>
      </c>
      <c r="E61" s="13" t="s">
        <v>1273</v>
      </c>
      <c r="F61" s="14" t="s">
        <v>1182</v>
      </c>
      <c r="G61" s="9" t="s">
        <v>1243</v>
      </c>
      <c r="H61" s="15">
        <v>2</v>
      </c>
      <c r="I61" s="15">
        <v>2005</v>
      </c>
      <c r="J61" s="15"/>
      <c r="K61" s="13" t="s">
        <v>1274</v>
      </c>
    </row>
    <row r="62" spans="1:11" ht="15.6" x14ac:dyDescent="0.25">
      <c r="A62" s="9">
        <v>100132</v>
      </c>
      <c r="B62" s="10" t="s">
        <v>1275</v>
      </c>
      <c r="C62" s="11">
        <v>95410132</v>
      </c>
      <c r="D62" s="12">
        <v>0</v>
      </c>
      <c r="E62" s="13" t="s">
        <v>1276</v>
      </c>
      <c r="F62" s="14" t="s">
        <v>1182</v>
      </c>
      <c r="G62" s="9" t="s">
        <v>1243</v>
      </c>
      <c r="H62" s="15">
        <v>2</v>
      </c>
      <c r="I62" s="15">
        <v>2005</v>
      </c>
      <c r="J62" s="15"/>
      <c r="K62" s="13" t="s">
        <v>1277</v>
      </c>
    </row>
    <row r="63" spans="1:11" ht="15.6" x14ac:dyDescent="0.25">
      <c r="A63" s="9">
        <v>100133</v>
      </c>
      <c r="B63" s="10" t="s">
        <v>1278</v>
      </c>
      <c r="C63" s="11">
        <v>95410133</v>
      </c>
      <c r="D63" s="12">
        <v>0</v>
      </c>
      <c r="E63" s="13" t="s">
        <v>1279</v>
      </c>
      <c r="F63" s="14" t="s">
        <v>1182</v>
      </c>
      <c r="G63" s="9" t="s">
        <v>1243</v>
      </c>
      <c r="H63" s="15">
        <v>2</v>
      </c>
      <c r="I63" s="15">
        <v>2005</v>
      </c>
      <c r="J63" s="15"/>
      <c r="K63" s="13" t="s">
        <v>1280</v>
      </c>
    </row>
    <row r="64" spans="1:11" ht="15.6" x14ac:dyDescent="0.25">
      <c r="A64" s="9">
        <v>100134</v>
      </c>
      <c r="B64" s="10" t="s">
        <v>1281</v>
      </c>
      <c r="C64" s="11">
        <v>95410134</v>
      </c>
      <c r="D64" s="12">
        <v>0</v>
      </c>
      <c r="E64" s="13" t="s">
        <v>1282</v>
      </c>
      <c r="F64" s="14" t="s">
        <v>1182</v>
      </c>
      <c r="G64" s="9" t="s">
        <v>1283</v>
      </c>
      <c r="H64" s="15">
        <v>3</v>
      </c>
      <c r="I64" s="15">
        <v>3001</v>
      </c>
      <c r="J64" s="15"/>
      <c r="K64" s="13" t="s">
        <v>1284</v>
      </c>
    </row>
    <row r="65" spans="1:11" ht="15.6" x14ac:dyDescent="0.25">
      <c r="A65" s="9">
        <v>100135</v>
      </c>
      <c r="B65" s="10" t="s">
        <v>1285</v>
      </c>
      <c r="C65" s="11">
        <v>95410135</v>
      </c>
      <c r="D65" s="12">
        <v>0</v>
      </c>
      <c r="E65" s="13" t="s">
        <v>1286</v>
      </c>
      <c r="F65" s="14" t="s">
        <v>1182</v>
      </c>
      <c r="G65" s="9" t="s">
        <v>1283</v>
      </c>
      <c r="H65" s="15">
        <v>3</v>
      </c>
      <c r="I65" s="15">
        <v>3001</v>
      </c>
      <c r="J65" s="15"/>
      <c r="K65" s="13" t="s">
        <v>1287</v>
      </c>
    </row>
    <row r="66" spans="1:11" ht="15.6" x14ac:dyDescent="0.25">
      <c r="A66" s="9">
        <v>100136</v>
      </c>
      <c r="B66" s="10" t="s">
        <v>1288</v>
      </c>
      <c r="C66" s="11">
        <v>95410136</v>
      </c>
      <c r="D66" s="12">
        <v>0</v>
      </c>
      <c r="E66" s="13" t="s">
        <v>1289</v>
      </c>
      <c r="F66" s="14" t="s">
        <v>1182</v>
      </c>
      <c r="G66" s="9" t="s">
        <v>1283</v>
      </c>
      <c r="H66" s="15">
        <v>3</v>
      </c>
      <c r="I66" s="15">
        <v>3001</v>
      </c>
      <c r="J66" s="15"/>
      <c r="K66" s="13" t="s">
        <v>1290</v>
      </c>
    </row>
    <row r="67" spans="1:11" ht="15.6" x14ac:dyDescent="0.25">
      <c r="A67" s="9">
        <v>100137</v>
      </c>
      <c r="B67" s="10" t="s">
        <v>1291</v>
      </c>
      <c r="C67" s="11">
        <v>95410137</v>
      </c>
      <c r="D67" s="12">
        <v>0</v>
      </c>
      <c r="E67" s="13" t="s">
        <v>1292</v>
      </c>
      <c r="F67" s="14" t="s">
        <v>1182</v>
      </c>
      <c r="G67" s="9" t="s">
        <v>1283</v>
      </c>
      <c r="H67" s="15">
        <v>3</v>
      </c>
      <c r="I67" s="15">
        <v>3001</v>
      </c>
      <c r="J67" s="15"/>
      <c r="K67" s="13" t="s">
        <v>1199</v>
      </c>
    </row>
    <row r="68" spans="1:11" ht="15.6" x14ac:dyDescent="0.25">
      <c r="A68" s="9">
        <v>100138</v>
      </c>
      <c r="B68" s="10" t="s">
        <v>1293</v>
      </c>
      <c r="C68" s="11">
        <v>95410138</v>
      </c>
      <c r="D68" s="12">
        <v>0</v>
      </c>
      <c r="E68" s="13" t="s">
        <v>1294</v>
      </c>
      <c r="F68" s="14" t="s">
        <v>1182</v>
      </c>
      <c r="G68" s="9" t="s">
        <v>1283</v>
      </c>
      <c r="H68" s="15">
        <v>3</v>
      </c>
      <c r="I68" s="15">
        <v>3001</v>
      </c>
      <c r="J68" s="15"/>
      <c r="K68" s="13" t="s">
        <v>1295</v>
      </c>
    </row>
    <row r="69" spans="1:11" ht="15.6" x14ac:dyDescent="0.25">
      <c r="A69" s="9">
        <v>100139</v>
      </c>
      <c r="B69" s="10" t="s">
        <v>1296</v>
      </c>
      <c r="C69" s="11">
        <v>95410139</v>
      </c>
      <c r="D69" s="12">
        <v>0</v>
      </c>
      <c r="E69" s="13" t="s">
        <v>1297</v>
      </c>
      <c r="F69" s="14" t="s">
        <v>1182</v>
      </c>
      <c r="G69" s="9" t="s">
        <v>1283</v>
      </c>
      <c r="H69" s="15">
        <v>3</v>
      </c>
      <c r="I69" s="15">
        <v>3001</v>
      </c>
      <c r="J69" s="15"/>
      <c r="K69" s="13" t="s">
        <v>1298</v>
      </c>
    </row>
    <row r="70" spans="1:11" ht="15.6" x14ac:dyDescent="0.25">
      <c r="A70" s="9">
        <v>100140</v>
      </c>
      <c r="B70" s="10" t="s">
        <v>1299</v>
      </c>
      <c r="C70" s="11">
        <v>95410140</v>
      </c>
      <c r="D70" s="12">
        <v>0</v>
      </c>
      <c r="E70" s="13" t="s">
        <v>1300</v>
      </c>
      <c r="F70" s="14" t="s">
        <v>1182</v>
      </c>
      <c r="G70" s="9" t="s">
        <v>1283</v>
      </c>
      <c r="H70" s="15">
        <v>3</v>
      </c>
      <c r="I70" s="15">
        <v>3002</v>
      </c>
      <c r="J70" s="15"/>
      <c r="K70" s="13" t="s">
        <v>1301</v>
      </c>
    </row>
    <row r="71" spans="1:11" ht="15.6" x14ac:dyDescent="0.25">
      <c r="A71" s="9">
        <v>100141</v>
      </c>
      <c r="B71" s="10" t="s">
        <v>1302</v>
      </c>
      <c r="C71" s="11">
        <v>95410141</v>
      </c>
      <c r="D71" s="12">
        <v>0</v>
      </c>
      <c r="E71" s="13" t="s">
        <v>1303</v>
      </c>
      <c r="F71" s="14" t="s">
        <v>1182</v>
      </c>
      <c r="G71" s="9" t="s">
        <v>1283</v>
      </c>
      <c r="H71" s="15">
        <v>3</v>
      </c>
      <c r="I71" s="15">
        <v>3002</v>
      </c>
      <c r="J71" s="15"/>
      <c r="K71" s="13" t="s">
        <v>1304</v>
      </c>
    </row>
    <row r="72" spans="1:11" ht="15.6" x14ac:dyDescent="0.25">
      <c r="A72" s="9">
        <v>100142</v>
      </c>
      <c r="B72" s="10" t="s">
        <v>1305</v>
      </c>
      <c r="C72" s="11">
        <v>95410142</v>
      </c>
      <c r="D72" s="12">
        <v>0</v>
      </c>
      <c r="E72" s="13" t="s">
        <v>1306</v>
      </c>
      <c r="F72" s="14" t="s">
        <v>1182</v>
      </c>
      <c r="G72" s="9" t="s">
        <v>1283</v>
      </c>
      <c r="H72" s="15">
        <v>3</v>
      </c>
      <c r="I72" s="15">
        <v>3002</v>
      </c>
      <c r="J72" s="15"/>
      <c r="K72" s="13" t="s">
        <v>1307</v>
      </c>
    </row>
    <row r="73" spans="1:11" ht="15.6" x14ac:dyDescent="0.25">
      <c r="A73" s="9">
        <v>100143</v>
      </c>
      <c r="B73" s="10" t="s">
        <v>1308</v>
      </c>
      <c r="C73" s="11">
        <v>95410143</v>
      </c>
      <c r="D73" s="12">
        <v>0</v>
      </c>
      <c r="E73" s="13" t="s">
        <v>1309</v>
      </c>
      <c r="F73" s="14" t="s">
        <v>1182</v>
      </c>
      <c r="G73" s="9" t="s">
        <v>1283</v>
      </c>
      <c r="H73" s="15">
        <v>3</v>
      </c>
      <c r="I73" s="15">
        <v>3003</v>
      </c>
      <c r="J73" s="15"/>
      <c r="K73" s="13" t="s">
        <v>1310</v>
      </c>
    </row>
    <row r="74" spans="1:11" ht="15.6" x14ac:dyDescent="0.25">
      <c r="A74" s="9">
        <v>100144</v>
      </c>
      <c r="B74" s="10" t="s">
        <v>1311</v>
      </c>
      <c r="C74" s="11">
        <v>95410144</v>
      </c>
      <c r="D74" s="12">
        <v>0</v>
      </c>
      <c r="E74" s="13" t="s">
        <v>1312</v>
      </c>
      <c r="F74" s="14" t="s">
        <v>1182</v>
      </c>
      <c r="G74" s="9" t="s">
        <v>1283</v>
      </c>
      <c r="H74" s="15">
        <v>3</v>
      </c>
      <c r="I74" s="15">
        <v>3003</v>
      </c>
      <c r="J74" s="15"/>
      <c r="K74" s="13" t="s">
        <v>1313</v>
      </c>
    </row>
    <row r="75" spans="1:11" ht="15.6" x14ac:dyDescent="0.25">
      <c r="A75" s="9">
        <v>100145</v>
      </c>
      <c r="B75" s="10" t="s">
        <v>1314</v>
      </c>
      <c r="C75" s="11">
        <v>95410145</v>
      </c>
      <c r="D75" s="12">
        <v>0</v>
      </c>
      <c r="E75" s="13" t="s">
        <v>1315</v>
      </c>
      <c r="F75" s="14" t="s">
        <v>1182</v>
      </c>
      <c r="G75" s="9" t="s">
        <v>1283</v>
      </c>
      <c r="H75" s="15">
        <v>3</v>
      </c>
      <c r="I75" s="15">
        <v>3003</v>
      </c>
      <c r="J75" s="15"/>
      <c r="K75" s="13" t="s">
        <v>1316</v>
      </c>
    </row>
    <row r="76" spans="1:11" ht="15.6" x14ac:dyDescent="0.25">
      <c r="A76" s="9">
        <v>100146</v>
      </c>
      <c r="B76" s="10" t="s">
        <v>1317</v>
      </c>
      <c r="C76" s="11">
        <v>95410146</v>
      </c>
      <c r="D76" s="12">
        <v>0</v>
      </c>
      <c r="E76" s="13" t="s">
        <v>1318</v>
      </c>
      <c r="F76" s="14" t="s">
        <v>1182</v>
      </c>
      <c r="G76" s="9" t="s">
        <v>1283</v>
      </c>
      <c r="H76" s="15">
        <v>3</v>
      </c>
      <c r="I76" s="15">
        <v>3004</v>
      </c>
      <c r="J76" s="15"/>
      <c r="K76" s="13" t="s">
        <v>1319</v>
      </c>
    </row>
    <row r="77" spans="1:11" ht="15.6" x14ac:dyDescent="0.25">
      <c r="A77" s="9">
        <v>100147</v>
      </c>
      <c r="B77" s="10" t="s">
        <v>1320</v>
      </c>
      <c r="C77" s="11">
        <v>95410147</v>
      </c>
      <c r="D77" s="12">
        <v>0</v>
      </c>
      <c r="E77" s="13" t="s">
        <v>1321</v>
      </c>
      <c r="F77" s="14" t="s">
        <v>1182</v>
      </c>
      <c r="G77" s="9" t="s">
        <v>1283</v>
      </c>
      <c r="H77" s="15">
        <v>3</v>
      </c>
      <c r="I77" s="15">
        <v>3004</v>
      </c>
      <c r="J77" s="15"/>
      <c r="K77" s="13" t="s">
        <v>1322</v>
      </c>
    </row>
    <row r="78" spans="1:11" ht="15.6" x14ac:dyDescent="0.25">
      <c r="A78" s="9">
        <v>100148</v>
      </c>
      <c r="B78" s="10" t="s">
        <v>1323</v>
      </c>
      <c r="C78" s="11">
        <v>95410148</v>
      </c>
      <c r="D78" s="12">
        <v>0</v>
      </c>
      <c r="E78" s="13" t="s">
        <v>1324</v>
      </c>
      <c r="F78" s="14" t="s">
        <v>1182</v>
      </c>
      <c r="G78" s="9" t="s">
        <v>1283</v>
      </c>
      <c r="H78" s="15">
        <v>3</v>
      </c>
      <c r="I78" s="15">
        <v>3004</v>
      </c>
      <c r="J78" s="15"/>
      <c r="K78" s="13" t="s">
        <v>1325</v>
      </c>
    </row>
    <row r="79" spans="1:11" ht="15.6" x14ac:dyDescent="0.25">
      <c r="A79" s="9">
        <v>100149</v>
      </c>
      <c r="B79" s="10" t="s">
        <v>1326</v>
      </c>
      <c r="C79" s="11">
        <v>95410149</v>
      </c>
      <c r="D79" s="12">
        <v>0</v>
      </c>
      <c r="E79" s="13" t="s">
        <v>1327</v>
      </c>
      <c r="F79" s="14" t="s">
        <v>1182</v>
      </c>
      <c r="G79" s="9" t="s">
        <v>1283</v>
      </c>
      <c r="H79" s="15">
        <v>3</v>
      </c>
      <c r="I79" s="15">
        <v>3005</v>
      </c>
      <c r="J79" s="15"/>
      <c r="K79" s="13" t="s">
        <v>1328</v>
      </c>
    </row>
    <row r="80" spans="1:11" ht="15.6" x14ac:dyDescent="0.25">
      <c r="A80" s="9">
        <v>100150</v>
      </c>
      <c r="B80" s="10" t="s">
        <v>1329</v>
      </c>
      <c r="C80" s="11">
        <v>95410150</v>
      </c>
      <c r="D80" s="12">
        <v>0</v>
      </c>
      <c r="E80" s="13" t="s">
        <v>1330</v>
      </c>
      <c r="F80" s="14" t="s">
        <v>1182</v>
      </c>
      <c r="G80" s="9" t="s">
        <v>1283</v>
      </c>
      <c r="H80" s="15">
        <v>3</v>
      </c>
      <c r="I80" s="15">
        <v>3005</v>
      </c>
      <c r="J80" s="15"/>
      <c r="K80" s="13" t="s">
        <v>1331</v>
      </c>
    </row>
    <row r="85" spans="1:7" x14ac:dyDescent="0.25">
      <c r="A85" s="1"/>
      <c r="B85" s="71" t="s">
        <v>1455</v>
      </c>
      <c r="C85" s="71" t="s">
        <v>1454</v>
      </c>
      <c r="D85" s="73" t="s">
        <v>1453</v>
      </c>
      <c r="E85" s="73" t="s">
        <v>1452</v>
      </c>
      <c r="F85" s="71" t="s">
        <v>1451</v>
      </c>
      <c r="G85" s="71" t="s">
        <v>1450</v>
      </c>
    </row>
    <row r="86" spans="1:7" x14ac:dyDescent="0.25">
      <c r="A86" s="1"/>
      <c r="B86" s="71" t="s">
        <v>13</v>
      </c>
      <c r="C86" s="71" t="s">
        <v>1449</v>
      </c>
      <c r="D86" s="73" t="s">
        <v>16</v>
      </c>
      <c r="E86" s="73" t="s">
        <v>1448</v>
      </c>
      <c r="F86" s="73" t="s">
        <v>1447</v>
      </c>
      <c r="G86" s="71" t="s">
        <v>1446</v>
      </c>
    </row>
    <row r="87" spans="1:7" x14ac:dyDescent="0.25">
      <c r="A87" s="1" t="s">
        <v>1423</v>
      </c>
      <c r="B87" s="71">
        <v>1</v>
      </c>
      <c r="C87" s="71">
        <v>900</v>
      </c>
      <c r="D87" s="71">
        <v>0</v>
      </c>
      <c r="E87" s="71">
        <v>2</v>
      </c>
      <c r="F87" s="71">
        <v>3.2</v>
      </c>
      <c r="G87" s="71" t="str">
        <f>VLOOKUP(A87,[1]武学境界对应招式表!$C:$F,4,0)</f>
        <v>quan/Idle3</v>
      </c>
    </row>
    <row r="88" spans="1:7" x14ac:dyDescent="0.25">
      <c r="A88" s="1" t="s">
        <v>1421</v>
      </c>
      <c r="B88" s="71">
        <v>2</v>
      </c>
      <c r="C88" s="71">
        <v>800</v>
      </c>
      <c r="D88" s="71">
        <v>0</v>
      </c>
      <c r="E88" s="71">
        <v>2.5</v>
      </c>
      <c r="F88" s="71">
        <v>3.6</v>
      </c>
      <c r="G88" s="71" t="str">
        <f>VLOOKUP(A88,[1]武学境界对应招式表!$C:$F,4,0)</f>
        <v>jian/Idle</v>
      </c>
    </row>
    <row r="89" spans="1:7" x14ac:dyDescent="0.25">
      <c r="A89" s="1" t="s">
        <v>1424</v>
      </c>
      <c r="B89" s="71">
        <v>3</v>
      </c>
      <c r="C89" s="71">
        <v>550</v>
      </c>
      <c r="D89" s="71">
        <v>0</v>
      </c>
      <c r="E89" s="71">
        <v>3</v>
      </c>
      <c r="F89" s="71">
        <v>4</v>
      </c>
      <c r="G89" s="71" t="str">
        <f>VLOOKUP(A89,[1]武学境界对应招式表!$C:$F,4,0)</f>
        <v>zhongren/Idle</v>
      </c>
    </row>
    <row r="90" spans="1:7" x14ac:dyDescent="0.25">
      <c r="A90" s="1" t="s">
        <v>134</v>
      </c>
      <c r="B90" s="71">
        <v>4</v>
      </c>
      <c r="C90" s="71">
        <v>650</v>
      </c>
      <c r="D90" s="71">
        <v>0</v>
      </c>
      <c r="E90" s="71">
        <v>3</v>
      </c>
      <c r="F90" s="71">
        <v>4</v>
      </c>
      <c r="G90" s="71" t="str">
        <f>VLOOKUP(A90,[1]武学境界对应招式表!$C:$F,4,0)</f>
        <v>qiangfa/Idle</v>
      </c>
    </row>
    <row r="91" spans="1:7" x14ac:dyDescent="0.25">
      <c r="A91" s="1" t="s">
        <v>1444</v>
      </c>
      <c r="B91" s="71">
        <v>5</v>
      </c>
      <c r="C91" s="71">
        <v>850</v>
      </c>
      <c r="D91" s="71">
        <v>0</v>
      </c>
      <c r="E91" s="71">
        <v>2</v>
      </c>
      <c r="F91" s="71">
        <v>3.2</v>
      </c>
      <c r="G91" s="71" t="str">
        <f>VLOOKUP(A91,[1]武学境界对应招式表!$C:$F,4,0)</f>
        <v>shanzi/Idle</v>
      </c>
    </row>
    <row r="92" spans="1:7" x14ac:dyDescent="0.25">
      <c r="A92" s="1" t="s">
        <v>1437</v>
      </c>
      <c r="B92" s="71">
        <v>6</v>
      </c>
      <c r="C92" s="71">
        <v>800</v>
      </c>
      <c r="D92" s="71">
        <v>1</v>
      </c>
      <c r="E92" s="71">
        <v>5.5</v>
      </c>
      <c r="F92" s="71">
        <v>6.4</v>
      </c>
      <c r="G92" s="71" t="str">
        <f>VLOOKUP(A92,[1]武学境界对应招式表!$C:$F,4,0)</f>
        <v>anqi/Idle</v>
      </c>
    </row>
    <row r="93" spans="1:7" x14ac:dyDescent="0.25">
      <c r="A93" s="1">
        <v>0</v>
      </c>
      <c r="B93" s="71">
        <v>7</v>
      </c>
      <c r="C93" s="71">
        <v>0</v>
      </c>
      <c r="D93" s="71"/>
      <c r="E93" s="71">
        <v>0</v>
      </c>
      <c r="F93" s="71">
        <v>0</v>
      </c>
      <c r="G93" s="71"/>
    </row>
    <row r="94" spans="1:7" x14ac:dyDescent="0.25">
      <c r="A94" s="1">
        <v>0</v>
      </c>
      <c r="B94" s="71">
        <v>8</v>
      </c>
      <c r="C94" s="71">
        <v>0</v>
      </c>
      <c r="D94" s="71"/>
      <c r="E94" s="71">
        <v>0</v>
      </c>
      <c r="F94" s="71">
        <v>0</v>
      </c>
      <c r="G94" s="71"/>
    </row>
    <row r="95" spans="1:7" x14ac:dyDescent="0.25">
      <c r="A95" s="1" t="s">
        <v>1429</v>
      </c>
      <c r="B95" s="71">
        <v>9</v>
      </c>
      <c r="C95" s="71">
        <v>950</v>
      </c>
      <c r="D95" s="71">
        <v>0</v>
      </c>
      <c r="E95" s="71">
        <v>2</v>
      </c>
      <c r="F95" s="71">
        <v>3.2</v>
      </c>
      <c r="G95" s="71" t="str">
        <f>VLOOKUP(A95,[1]武学境界对应招式表!$C:$F,4,0)</f>
        <v>tui/Idle</v>
      </c>
    </row>
    <row r="96" spans="1:7" x14ac:dyDescent="0.25">
      <c r="A96" s="1" t="s">
        <v>1426</v>
      </c>
      <c r="B96" s="71">
        <v>10</v>
      </c>
      <c r="C96" s="71">
        <v>750</v>
      </c>
      <c r="D96" s="71">
        <v>0</v>
      </c>
      <c r="E96" s="71">
        <v>3</v>
      </c>
      <c r="F96" s="71">
        <v>4</v>
      </c>
      <c r="G96" s="71" t="str">
        <f>VLOOKUP(A96,[1]武学境界对应招式表!$C:$F,4,0)</f>
        <v>shuangshouqingren/Idle</v>
      </c>
    </row>
    <row r="97" spans="1:7" x14ac:dyDescent="0.25">
      <c r="A97" s="72" t="s">
        <v>1425</v>
      </c>
      <c r="B97" s="71">
        <v>11</v>
      </c>
      <c r="C97" s="71">
        <v>650</v>
      </c>
      <c r="D97" s="71">
        <v>1</v>
      </c>
      <c r="E97" s="71">
        <v>4.5</v>
      </c>
      <c r="F97" s="71">
        <v>4.8</v>
      </c>
      <c r="G97" s="71" t="str">
        <f>VLOOKUP(A97,[1]武学境界对应招式表!$C:$F,4,0)</f>
        <v>shengbiao/Idle</v>
      </c>
    </row>
    <row r="98" spans="1:7" x14ac:dyDescent="0.25">
      <c r="A98" s="72" t="s">
        <v>1432</v>
      </c>
      <c r="B98" s="71">
        <v>12</v>
      </c>
      <c r="C98" s="71">
        <v>700</v>
      </c>
      <c r="D98" s="71">
        <v>1</v>
      </c>
      <c r="E98" s="71">
        <v>5.5</v>
      </c>
      <c r="F98" s="71">
        <v>6.8</v>
      </c>
      <c r="G98" s="71" t="str">
        <f>VLOOKUP(A98,[1]武学境界对应招式表!$C:$F,4,0)</f>
        <v>gongjian/Idle</v>
      </c>
    </row>
    <row r="99" spans="1:7" x14ac:dyDescent="0.25">
      <c r="A99" s="72" t="s">
        <v>1431</v>
      </c>
      <c r="B99" s="71">
        <v>13</v>
      </c>
      <c r="C99" s="71">
        <v>650</v>
      </c>
      <c r="D99" s="71">
        <v>1</v>
      </c>
      <c r="E99" s="71">
        <v>2.5</v>
      </c>
      <c r="F99" s="71">
        <v>4</v>
      </c>
      <c r="G99" s="73" t="s">
        <v>1445</v>
      </c>
    </row>
    <row r="100" spans="1:7" x14ac:dyDescent="0.25">
      <c r="A100" s="72" t="s">
        <v>1439</v>
      </c>
      <c r="B100" s="71">
        <v>14</v>
      </c>
      <c r="C100" s="71">
        <v>700</v>
      </c>
      <c r="D100" s="71">
        <v>1</v>
      </c>
      <c r="E100" s="71">
        <v>5.5</v>
      </c>
      <c r="F100" s="71">
        <v>7.2</v>
      </c>
      <c r="G100" s="71" t="str">
        <f>VLOOKUP(A100,[1]武学境界对应招式表!$C:$F,4,0)</f>
        <v>huoqiang/Idle</v>
      </c>
    </row>
    <row r="101" spans="1:7" x14ac:dyDescent="0.25">
      <c r="A101" s="72" t="s">
        <v>1427</v>
      </c>
      <c r="B101" s="71">
        <v>15</v>
      </c>
      <c r="C101" s="71">
        <v>850</v>
      </c>
      <c r="D101" s="71">
        <v>0</v>
      </c>
      <c r="E101" s="71">
        <v>2.5</v>
      </c>
      <c r="F101" s="71">
        <v>4</v>
      </c>
      <c r="G101" s="71" t="str">
        <f>VLOOKUP(A101,[1]武学境界对应招式表!$C:$F,4,0)</f>
        <v>duanbing/Idle</v>
      </c>
    </row>
  </sheetData>
  <mergeCells count="2">
    <mergeCell ref="A1:A2"/>
    <mergeCell ref="A5:A6"/>
  </mergeCells>
  <phoneticPr fontId="2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3" sqref="D3:D5"/>
    </sheetView>
  </sheetViews>
  <sheetFormatPr defaultColWidth="9" defaultRowHeight="14.4" x14ac:dyDescent="0.25"/>
  <cols>
    <col min="1" max="1" width="8.88671875" style="24"/>
    <col min="2" max="2" width="17.77734375" style="24" customWidth="1"/>
    <col min="3" max="3" width="101.88671875" style="24" customWidth="1"/>
  </cols>
  <sheetData>
    <row r="1" spans="1:4" ht="15" customHeight="1" x14ac:dyDescent="0.25">
      <c r="A1" s="26" t="s">
        <v>1165</v>
      </c>
      <c r="B1" s="26" t="s">
        <v>1166</v>
      </c>
      <c r="C1" s="26" t="s">
        <v>265</v>
      </c>
      <c r="D1" s="26" t="s">
        <v>1379</v>
      </c>
    </row>
    <row r="2" spans="1:4" ht="15" customHeight="1" x14ac:dyDescent="0.25">
      <c r="A2" s="27" t="s">
        <v>13</v>
      </c>
      <c r="B2" s="27" t="s">
        <v>14</v>
      </c>
      <c r="C2" s="27"/>
      <c r="D2" s="26" t="s">
        <v>13</v>
      </c>
    </row>
    <row r="3" spans="1:4" s="35" customFormat="1" x14ac:dyDescent="0.25">
      <c r="A3" s="96">
        <f>VLOOKUP(B3,密卷!$B:$L,11,0)</f>
        <v>100130</v>
      </c>
      <c r="B3" s="97" t="s">
        <v>1269</v>
      </c>
      <c r="C3" s="24" t="s">
        <v>1500</v>
      </c>
      <c r="D3" s="98">
        <v>10049</v>
      </c>
    </row>
    <row r="4" spans="1:4" s="35" customFormat="1" ht="15" customHeight="1" x14ac:dyDescent="0.25">
      <c r="A4" s="96">
        <f>VLOOKUP(B4,密卷!$B:$L,11,0)</f>
        <v>100140</v>
      </c>
      <c r="B4" s="96" t="s">
        <v>1299</v>
      </c>
      <c r="C4" s="96" t="s">
        <v>1503</v>
      </c>
      <c r="D4" s="98">
        <v>10050</v>
      </c>
    </row>
    <row r="5" spans="1:4" s="35" customFormat="1" x14ac:dyDescent="0.25">
      <c r="A5" s="96">
        <f>VLOOKUP(B5,密卷!$B:$L,11,0)</f>
        <v>100145</v>
      </c>
      <c r="B5" s="24" t="s">
        <v>1314</v>
      </c>
      <c r="C5" s="97" t="s">
        <v>1502</v>
      </c>
      <c r="D5" s="98">
        <v>10051</v>
      </c>
    </row>
  </sheetData>
  <phoneticPr fontId="21" type="noConversion"/>
  <conditionalFormatting sqref="D3">
    <cfRule type="duplicateValues" dxfId="14" priority="15"/>
  </conditionalFormatting>
  <conditionalFormatting sqref="D3">
    <cfRule type="duplicateValues" dxfId="13" priority="11"/>
    <cfRule type="duplicateValues" dxfId="12" priority="12"/>
  </conditionalFormatting>
  <conditionalFormatting sqref="D3">
    <cfRule type="duplicateValues" dxfId="11" priority="13"/>
    <cfRule type="duplicateValues" dxfId="10" priority="14"/>
  </conditionalFormatting>
  <conditionalFormatting sqref="D4">
    <cfRule type="duplicateValues" dxfId="9" priority="10"/>
  </conditionalFormatting>
  <conditionalFormatting sqref="D4">
    <cfRule type="duplicateValues" dxfId="8" priority="6"/>
    <cfRule type="duplicateValues" dxfId="7" priority="7"/>
  </conditionalFormatting>
  <conditionalFormatting sqref="D4">
    <cfRule type="duplicateValues" dxfId="6" priority="8"/>
    <cfRule type="duplicateValues" dxfId="5" priority="9"/>
  </conditionalFormatting>
  <conditionalFormatting sqref="D5">
    <cfRule type="duplicateValues" dxfId="4" priority="5"/>
  </conditionalFormatting>
  <conditionalFormatting sqref="D5">
    <cfRule type="duplicateValues" dxfId="3" priority="1"/>
    <cfRule type="duplicateValues" dxfId="2" priority="2"/>
  </conditionalFormatting>
  <conditionalFormatting sqref="D5"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8"/>
  <sheetViews>
    <sheetView workbookViewId="0">
      <selection activeCell="D19" sqref="A18:D19"/>
    </sheetView>
  </sheetViews>
  <sheetFormatPr defaultColWidth="8.88671875" defaultRowHeight="14.4" x14ac:dyDescent="0.25"/>
  <cols>
    <col min="1" max="1" width="17.109375" customWidth="1"/>
    <col min="2" max="2" width="16.44140625" customWidth="1"/>
    <col min="3" max="3" width="19" customWidth="1"/>
    <col min="4" max="4" width="59.44140625" customWidth="1"/>
  </cols>
  <sheetData>
    <row r="1" spans="1:4" x14ac:dyDescent="0.25">
      <c r="A1" s="20" t="s">
        <v>1380</v>
      </c>
      <c r="B1" s="20" t="s">
        <v>1381</v>
      </c>
      <c r="C1" s="20" t="s">
        <v>1382</v>
      </c>
      <c r="D1" s="20" t="s">
        <v>1383</v>
      </c>
    </row>
    <row r="2" spans="1:4" x14ac:dyDescent="0.25">
      <c r="A2" s="25" t="s">
        <v>13</v>
      </c>
      <c r="B2" s="21" t="s">
        <v>1384</v>
      </c>
      <c r="C2" s="25" t="s">
        <v>1385</v>
      </c>
      <c r="D2" s="25" t="s">
        <v>19</v>
      </c>
    </row>
    <row r="3" spans="1:4" x14ac:dyDescent="0.25">
      <c r="A3">
        <v>1001</v>
      </c>
      <c r="B3" s="15">
        <v>0</v>
      </c>
      <c r="C3" s="25">
        <v>0</v>
      </c>
      <c r="D3" s="25"/>
    </row>
    <row r="4" spans="1:4" x14ac:dyDescent="0.25">
      <c r="A4">
        <v>1002</v>
      </c>
      <c r="B4" s="15">
        <v>1</v>
      </c>
      <c r="C4" s="25">
        <v>0</v>
      </c>
      <c r="D4" s="25">
        <v>1001</v>
      </c>
    </row>
    <row r="5" spans="1:4" x14ac:dyDescent="0.25">
      <c r="A5">
        <v>1003</v>
      </c>
      <c r="B5" s="15">
        <v>1</v>
      </c>
      <c r="C5" s="25">
        <v>0</v>
      </c>
      <c r="D5" s="25">
        <v>1002</v>
      </c>
    </row>
    <row r="6" spans="1:4" x14ac:dyDescent="0.25">
      <c r="A6">
        <v>1004</v>
      </c>
      <c r="B6" s="15">
        <v>1</v>
      </c>
      <c r="C6" s="25">
        <v>0</v>
      </c>
      <c r="D6" s="25">
        <v>1003</v>
      </c>
    </row>
    <row r="7" spans="1:4" x14ac:dyDescent="0.25">
      <c r="A7">
        <v>1005</v>
      </c>
      <c r="B7" s="15">
        <v>1</v>
      </c>
      <c r="C7" s="25">
        <v>0</v>
      </c>
      <c r="D7" s="25">
        <v>1004</v>
      </c>
    </row>
    <row r="8" spans="1:4" x14ac:dyDescent="0.25">
      <c r="A8">
        <v>2001</v>
      </c>
      <c r="B8" s="15">
        <v>0</v>
      </c>
      <c r="C8" s="25">
        <v>0</v>
      </c>
      <c r="D8" s="25"/>
    </row>
    <row r="9" spans="1:4" x14ac:dyDescent="0.25">
      <c r="A9">
        <v>2002</v>
      </c>
      <c r="B9" s="15">
        <v>1</v>
      </c>
      <c r="C9" s="25">
        <v>0</v>
      </c>
      <c r="D9" s="25">
        <v>2001</v>
      </c>
    </row>
    <row r="10" spans="1:4" x14ac:dyDescent="0.25">
      <c r="A10">
        <v>2003</v>
      </c>
      <c r="B10" s="15">
        <v>1</v>
      </c>
      <c r="C10" s="25">
        <v>0</v>
      </c>
      <c r="D10" s="25">
        <v>2002</v>
      </c>
    </row>
    <row r="11" spans="1:4" x14ac:dyDescent="0.25">
      <c r="A11">
        <v>2004</v>
      </c>
      <c r="B11" s="15">
        <v>1</v>
      </c>
      <c r="C11" s="25">
        <v>0</v>
      </c>
      <c r="D11" s="25">
        <v>2003</v>
      </c>
    </row>
    <row r="12" spans="1:4" x14ac:dyDescent="0.25">
      <c r="A12">
        <v>2005</v>
      </c>
      <c r="B12" s="15">
        <v>1</v>
      </c>
      <c r="C12" s="25">
        <v>0</v>
      </c>
      <c r="D12" s="25">
        <v>2004</v>
      </c>
    </row>
    <row r="13" spans="1:4" x14ac:dyDescent="0.25">
      <c r="A13">
        <v>3001</v>
      </c>
      <c r="B13" s="15">
        <v>0</v>
      </c>
      <c r="C13" s="25">
        <v>0</v>
      </c>
      <c r="D13" s="25"/>
    </row>
    <row r="14" spans="1:4" x14ac:dyDescent="0.25">
      <c r="A14">
        <v>3002</v>
      </c>
      <c r="B14" s="15">
        <v>1</v>
      </c>
      <c r="C14" s="25">
        <v>0</v>
      </c>
      <c r="D14" s="25">
        <v>3001</v>
      </c>
    </row>
    <row r="15" spans="1:4" x14ac:dyDescent="0.25">
      <c r="A15">
        <v>3003</v>
      </c>
      <c r="B15" s="15">
        <v>1</v>
      </c>
      <c r="C15" s="25">
        <v>0</v>
      </c>
      <c r="D15" s="23">
        <v>3002</v>
      </c>
    </row>
    <row r="16" spans="1:4" x14ac:dyDescent="0.25">
      <c r="A16">
        <v>3004</v>
      </c>
      <c r="B16" s="15">
        <v>1</v>
      </c>
      <c r="C16" s="25">
        <v>0</v>
      </c>
      <c r="D16" s="23">
        <v>3003</v>
      </c>
    </row>
    <row r="17" spans="1:4" x14ac:dyDescent="0.25">
      <c r="A17">
        <v>3005</v>
      </c>
      <c r="B17" s="15">
        <v>1</v>
      </c>
      <c r="C17" s="25">
        <v>0</v>
      </c>
      <c r="D17" s="23">
        <v>3004</v>
      </c>
    </row>
    <row r="26" spans="1:4" x14ac:dyDescent="0.25">
      <c r="B26" s="15"/>
    </row>
    <row r="27" spans="1:4" x14ac:dyDescent="0.25">
      <c r="B27" s="15"/>
    </row>
    <row r="28" spans="1:4" x14ac:dyDescent="0.25">
      <c r="B28" s="15"/>
    </row>
  </sheetData>
  <phoneticPr fontId="2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>
      <selection activeCell="B3" sqref="B3:B17"/>
    </sheetView>
  </sheetViews>
  <sheetFormatPr defaultColWidth="8.88671875" defaultRowHeight="14.4" x14ac:dyDescent="0.25"/>
  <cols>
    <col min="1" max="1" width="13.5546875" customWidth="1"/>
    <col min="2" max="2" width="16" customWidth="1"/>
    <col min="3" max="3" width="16.44140625" customWidth="1"/>
    <col min="4" max="4" width="20.21875" customWidth="1"/>
    <col min="5" max="5" width="42.77734375" customWidth="1"/>
    <col min="6" max="6" width="24.88671875" customWidth="1"/>
    <col min="7" max="7" width="20.5546875" customWidth="1"/>
  </cols>
  <sheetData>
    <row r="1" spans="1:8" x14ac:dyDescent="0.25">
      <c r="A1" t="s">
        <v>13</v>
      </c>
      <c r="B1" t="s">
        <v>1386</v>
      </c>
      <c r="C1" s="20" t="s">
        <v>1381</v>
      </c>
      <c r="D1" t="s">
        <v>1387</v>
      </c>
      <c r="E1" t="s">
        <v>1388</v>
      </c>
      <c r="F1" t="s">
        <v>1389</v>
      </c>
      <c r="G1" t="s">
        <v>1390</v>
      </c>
      <c r="H1" t="s">
        <v>1138</v>
      </c>
    </row>
    <row r="2" spans="1:8" x14ac:dyDescent="0.25">
      <c r="A2" t="s">
        <v>13</v>
      </c>
      <c r="B2" t="s">
        <v>14</v>
      </c>
      <c r="C2" s="21" t="s">
        <v>1384</v>
      </c>
      <c r="D2" t="s">
        <v>16</v>
      </c>
      <c r="E2" t="s">
        <v>1391</v>
      </c>
      <c r="F2" t="s">
        <v>1392</v>
      </c>
      <c r="G2" t="s">
        <v>12</v>
      </c>
      <c r="H2" t="s">
        <v>24</v>
      </c>
    </row>
    <row r="3" spans="1:8" x14ac:dyDescent="0.25">
      <c r="A3">
        <v>1001</v>
      </c>
      <c r="B3" s="24" t="s">
        <v>1478</v>
      </c>
      <c r="C3" s="22">
        <v>0</v>
      </c>
      <c r="D3">
        <v>1</v>
      </c>
      <c r="E3" t="s">
        <v>95</v>
      </c>
      <c r="F3">
        <v>0</v>
      </c>
      <c r="G3" t="s">
        <v>1183</v>
      </c>
      <c r="H3" t="s">
        <v>1393</v>
      </c>
    </row>
    <row r="4" spans="1:8" x14ac:dyDescent="0.25">
      <c r="A4">
        <v>1002</v>
      </c>
      <c r="B4" s="24" t="s">
        <v>1479</v>
      </c>
      <c r="C4" s="23">
        <v>20</v>
      </c>
      <c r="D4">
        <v>1</v>
      </c>
      <c r="E4" t="s">
        <v>1394</v>
      </c>
      <c r="F4" t="s">
        <v>1395</v>
      </c>
      <c r="G4" t="s">
        <v>1183</v>
      </c>
      <c r="H4" t="s">
        <v>1393</v>
      </c>
    </row>
    <row r="5" spans="1:8" x14ac:dyDescent="0.25">
      <c r="A5">
        <v>1003</v>
      </c>
      <c r="B5" s="24" t="s">
        <v>1480</v>
      </c>
      <c r="C5" s="23">
        <v>40</v>
      </c>
      <c r="D5">
        <v>1</v>
      </c>
      <c r="E5" t="s">
        <v>1396</v>
      </c>
      <c r="F5" t="s">
        <v>1397</v>
      </c>
      <c r="G5" t="s">
        <v>1183</v>
      </c>
      <c r="H5" t="s">
        <v>1393</v>
      </c>
    </row>
    <row r="6" spans="1:8" x14ac:dyDescent="0.25">
      <c r="A6">
        <v>1004</v>
      </c>
      <c r="B6" s="24" t="s">
        <v>1481</v>
      </c>
      <c r="C6" s="23">
        <v>60</v>
      </c>
      <c r="D6">
        <v>1</v>
      </c>
      <c r="E6" t="s">
        <v>1398</v>
      </c>
      <c r="F6" t="s">
        <v>1399</v>
      </c>
      <c r="G6" t="s">
        <v>1183</v>
      </c>
      <c r="H6" t="s">
        <v>1393</v>
      </c>
    </row>
    <row r="7" spans="1:8" x14ac:dyDescent="0.25">
      <c r="A7">
        <v>1005</v>
      </c>
      <c r="B7" s="24" t="s">
        <v>1482</v>
      </c>
      <c r="C7" s="23">
        <v>90</v>
      </c>
      <c r="D7">
        <v>1</v>
      </c>
      <c r="E7" t="s">
        <v>1400</v>
      </c>
      <c r="F7" t="s">
        <v>1401</v>
      </c>
      <c r="G7" t="s">
        <v>1183</v>
      </c>
      <c r="H7" t="s">
        <v>1393</v>
      </c>
    </row>
    <row r="8" spans="1:8" x14ac:dyDescent="0.25">
      <c r="A8">
        <v>2001</v>
      </c>
      <c r="B8" s="24" t="s">
        <v>1483</v>
      </c>
      <c r="C8" s="22">
        <v>0</v>
      </c>
      <c r="D8">
        <v>2</v>
      </c>
      <c r="E8" t="s">
        <v>95</v>
      </c>
      <c r="F8">
        <v>0</v>
      </c>
      <c r="G8" t="s">
        <v>1243</v>
      </c>
      <c r="H8" t="s">
        <v>1393</v>
      </c>
    </row>
    <row r="9" spans="1:8" x14ac:dyDescent="0.25">
      <c r="A9">
        <v>2002</v>
      </c>
      <c r="B9" s="24" t="s">
        <v>1484</v>
      </c>
      <c r="C9" s="23">
        <v>20</v>
      </c>
      <c r="D9">
        <v>2</v>
      </c>
      <c r="E9" t="s">
        <v>1402</v>
      </c>
      <c r="F9" t="s">
        <v>1403</v>
      </c>
      <c r="G9" t="s">
        <v>1243</v>
      </c>
      <c r="H9" t="s">
        <v>1393</v>
      </c>
    </row>
    <row r="10" spans="1:8" x14ac:dyDescent="0.25">
      <c r="A10">
        <v>2003</v>
      </c>
      <c r="B10" s="24" t="s">
        <v>1485</v>
      </c>
      <c r="C10" s="23">
        <v>40</v>
      </c>
      <c r="D10">
        <v>2</v>
      </c>
      <c r="E10" t="s">
        <v>1404</v>
      </c>
      <c r="F10" t="s">
        <v>1405</v>
      </c>
      <c r="G10" t="s">
        <v>1243</v>
      </c>
      <c r="H10" t="s">
        <v>1393</v>
      </c>
    </row>
    <row r="11" spans="1:8" x14ac:dyDescent="0.25">
      <c r="A11">
        <v>2004</v>
      </c>
      <c r="B11" s="24" t="s">
        <v>1486</v>
      </c>
      <c r="C11" s="23">
        <v>60</v>
      </c>
      <c r="D11">
        <v>2</v>
      </c>
      <c r="E11" t="s">
        <v>1406</v>
      </c>
      <c r="F11" t="s">
        <v>1407</v>
      </c>
      <c r="G11" t="s">
        <v>1243</v>
      </c>
      <c r="H11" t="s">
        <v>1393</v>
      </c>
    </row>
    <row r="12" spans="1:8" x14ac:dyDescent="0.25">
      <c r="A12">
        <v>2005</v>
      </c>
      <c r="B12" s="24" t="s">
        <v>1487</v>
      </c>
      <c r="C12" s="23">
        <v>90</v>
      </c>
      <c r="D12">
        <v>2</v>
      </c>
      <c r="E12" t="s">
        <v>1408</v>
      </c>
      <c r="F12" t="s">
        <v>1409</v>
      </c>
      <c r="G12" t="s">
        <v>1243</v>
      </c>
      <c r="H12" t="s">
        <v>1393</v>
      </c>
    </row>
    <row r="13" spans="1:8" x14ac:dyDescent="0.25">
      <c r="A13">
        <v>3001</v>
      </c>
      <c r="B13" s="24" t="s">
        <v>1488</v>
      </c>
      <c r="C13" s="23">
        <v>0</v>
      </c>
      <c r="D13">
        <v>3</v>
      </c>
      <c r="E13" t="s">
        <v>95</v>
      </c>
      <c r="G13" s="24" t="s">
        <v>1283</v>
      </c>
      <c r="H13" t="s">
        <v>1393</v>
      </c>
    </row>
    <row r="14" spans="1:8" x14ac:dyDescent="0.25">
      <c r="A14">
        <v>3002</v>
      </c>
      <c r="B14" s="24" t="s">
        <v>1489</v>
      </c>
      <c r="C14" s="23">
        <v>20</v>
      </c>
      <c r="D14">
        <v>3</v>
      </c>
      <c r="E14" t="s">
        <v>1402</v>
      </c>
      <c r="F14" t="s">
        <v>1403</v>
      </c>
      <c r="G14" s="24" t="s">
        <v>1283</v>
      </c>
      <c r="H14" t="s">
        <v>1393</v>
      </c>
    </row>
    <row r="15" spans="1:8" x14ac:dyDescent="0.25">
      <c r="A15">
        <v>3003</v>
      </c>
      <c r="B15" s="24" t="s">
        <v>1490</v>
      </c>
      <c r="C15" s="23">
        <v>40</v>
      </c>
      <c r="D15">
        <v>3</v>
      </c>
      <c r="E15" t="s">
        <v>1404</v>
      </c>
      <c r="F15" t="s">
        <v>1405</v>
      </c>
      <c r="G15" s="24" t="s">
        <v>1283</v>
      </c>
      <c r="H15" t="s">
        <v>1393</v>
      </c>
    </row>
    <row r="16" spans="1:8" x14ac:dyDescent="0.25">
      <c r="A16">
        <v>3004</v>
      </c>
      <c r="B16" s="24" t="s">
        <v>1491</v>
      </c>
      <c r="C16" s="23">
        <v>60</v>
      </c>
      <c r="D16">
        <v>3</v>
      </c>
      <c r="E16" t="s">
        <v>1406</v>
      </c>
      <c r="F16" t="s">
        <v>1407</v>
      </c>
      <c r="G16" s="24" t="s">
        <v>1283</v>
      </c>
      <c r="H16" t="s">
        <v>1393</v>
      </c>
    </row>
    <row r="17" spans="1:8" x14ac:dyDescent="0.25">
      <c r="A17">
        <v>3005</v>
      </c>
      <c r="B17" s="24" t="s">
        <v>1492</v>
      </c>
      <c r="C17" s="23">
        <v>90</v>
      </c>
      <c r="D17">
        <v>3</v>
      </c>
      <c r="E17" t="s">
        <v>1408</v>
      </c>
      <c r="F17" t="s">
        <v>1409</v>
      </c>
      <c r="G17" s="24" t="s">
        <v>1283</v>
      </c>
      <c r="H17" t="s">
        <v>1393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武学配置</vt:lpstr>
      <vt:lpstr>武学等级配置</vt:lpstr>
      <vt:lpstr>招式配置</vt:lpstr>
      <vt:lpstr>心决</vt:lpstr>
      <vt:lpstr>密卷</vt:lpstr>
      <vt:lpstr>三才书属性加成</vt:lpstr>
      <vt:lpstr>Sheet1</vt:lpstr>
      <vt:lpstr>三才书特效</vt:lpstr>
      <vt:lpstr>密卷槽开启</vt:lpstr>
      <vt:lpstr>mijuan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奕轩 张</cp:lastModifiedBy>
  <dcterms:created xsi:type="dcterms:W3CDTF">2006-09-16T00:00:00Z</dcterms:created>
  <dcterms:modified xsi:type="dcterms:W3CDTF">2025-04-30T07:47:20Z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EF2942910FC14BDA922EE6A534A5E421</vt:lpwstr>
  </property>
  <property fmtid="{D5CDD505-2E9C-101B-9397-08002B2CF9AE}" pid="3" name="KSOProductBuildVer">
    <vt:lpwstr>2052-12.1.0.17147</vt:lpwstr>
  </property>
</Properties>
</file>