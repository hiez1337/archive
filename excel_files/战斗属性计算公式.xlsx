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GIT文件路径\ExcelData\"/>
    </mc:Choice>
  </mc:AlternateContent>
  <xr:revisionPtr revIDLastSave="0" documentId="13_ncr:1_{013D99DC-D49E-4755-A28B-FAADC6F46613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战斗属性计算公式" sheetId="3" r:id="rId1"/>
    <sheet name="境界等级系数" sheetId="5" r:id="rId2"/>
    <sheet name="境界系数" sheetId="4" r:id="rId3"/>
    <sheet name="JingJieLv" sheetId="6" r:id="rId4"/>
    <sheet name="Sheet1" sheetId="7" r:id="rId5"/>
  </sheets>
  <definedNames>
    <definedName name="_xlnm._FilterDatabase" localSheetId="3" hidden="1">JingJieLv!$A$1:$F$262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2" i="5" l="1"/>
  <c r="H82" i="5" s="1"/>
  <c r="G81" i="5"/>
  <c r="H81" i="5" s="1"/>
  <c r="G80" i="5"/>
  <c r="H80" i="5" s="1"/>
  <c r="G79" i="5"/>
  <c r="H79" i="5" s="1"/>
  <c r="G78" i="5"/>
  <c r="H78" i="5" s="1"/>
  <c r="G77" i="5"/>
  <c r="H77" i="5" s="1"/>
  <c r="G76" i="5"/>
  <c r="H76" i="5" s="1"/>
  <c r="G75" i="5"/>
  <c r="H75" i="5" s="1"/>
  <c r="G74" i="5"/>
  <c r="H74" i="5" s="1"/>
  <c r="G73" i="5"/>
  <c r="H73" i="5" s="1"/>
  <c r="G64" i="5"/>
  <c r="H64" i="5" s="1"/>
  <c r="G65" i="5"/>
  <c r="H65" i="5" s="1"/>
  <c r="G66" i="5"/>
  <c r="H66" i="5" s="1"/>
  <c r="G67" i="5"/>
  <c r="H67" i="5" s="1"/>
  <c r="G68" i="5"/>
  <c r="H68" i="5" s="1"/>
  <c r="G69" i="5"/>
  <c r="H69" i="5" s="1"/>
  <c r="G70" i="5"/>
  <c r="H70" i="5" s="1"/>
  <c r="G71" i="5"/>
  <c r="H71" i="5" s="1"/>
  <c r="G72" i="5"/>
  <c r="H72" i="5" s="1"/>
  <c r="G63" i="5"/>
  <c r="H63" i="5" s="1"/>
  <c r="L294" i="6"/>
  <c r="L295" i="6"/>
  <c r="L296" i="6"/>
  <c r="L297" i="6"/>
  <c r="L298" i="6"/>
  <c r="L299" i="6"/>
  <c r="L300" i="6"/>
  <c r="L301" i="6"/>
  <c r="L302" i="6"/>
  <c r="L293" i="6"/>
  <c r="D302" i="6" l="1"/>
  <c r="D292" i="6"/>
  <c r="D291" i="6"/>
  <c r="D301" i="6" s="1"/>
  <c r="D290" i="6"/>
  <c r="D300" i="6" s="1"/>
  <c r="D289" i="6"/>
  <c r="D299" i="6" s="1"/>
  <c r="D288" i="6"/>
  <c r="D298" i="6" s="1"/>
  <c r="D287" i="6"/>
  <c r="D297" i="6" s="1"/>
  <c r="D286" i="6"/>
  <c r="D296" i="6" s="1"/>
  <c r="K279" i="6"/>
  <c r="D282" i="6"/>
  <c r="D281" i="6"/>
  <c r="D280" i="6"/>
  <c r="D279" i="6"/>
  <c r="D278" i="6"/>
  <c r="D277" i="6"/>
  <c r="D276" i="6"/>
  <c r="D275" i="6"/>
  <c r="D285" i="6" s="1"/>
  <c r="D295" i="6" s="1"/>
  <c r="D274" i="6"/>
  <c r="D284" i="6" s="1"/>
  <c r="D294" i="6" s="1"/>
  <c r="D273" i="6"/>
  <c r="D283" i="6" s="1"/>
  <c r="D293" i="6" s="1"/>
  <c r="L4" i="6" l="1"/>
  <c r="L5" i="6"/>
  <c r="L6" i="6"/>
  <c r="L7" i="6"/>
  <c r="L8" i="6"/>
  <c r="L9" i="6"/>
  <c r="L10" i="6"/>
  <c r="L11" i="6"/>
  <c r="L12" i="6"/>
  <c r="L3" i="6"/>
  <c r="L104" i="6"/>
  <c r="L105" i="6"/>
  <c r="L106" i="6"/>
  <c r="L107" i="6"/>
  <c r="L108" i="6"/>
  <c r="L109" i="6"/>
  <c r="L110" i="6"/>
  <c r="L111" i="6"/>
  <c r="L112" i="6"/>
  <c r="L103" i="6"/>
  <c r="M215" i="6"/>
  <c r="M214" i="6"/>
  <c r="M213" i="6"/>
  <c r="M216" i="6"/>
  <c r="M217" i="6"/>
  <c r="M218" i="6"/>
  <c r="M219" i="6"/>
  <c r="M220" i="6"/>
  <c r="M221" i="6"/>
  <c r="M222" i="6"/>
  <c r="A172" i="6" l="1"/>
  <c r="A171" i="6"/>
  <c r="A170" i="6"/>
  <c r="A169" i="6"/>
  <c r="A168" i="6"/>
  <c r="A167" i="6"/>
  <c r="A166" i="6"/>
  <c r="A165" i="6"/>
  <c r="A164" i="6"/>
  <c r="A163" i="6"/>
  <c r="E244" i="6"/>
  <c r="E245" i="6"/>
  <c r="E246" i="6"/>
  <c r="E247" i="6"/>
  <c r="E248" i="6"/>
  <c r="E249" i="6"/>
  <c r="E250" i="6"/>
  <c r="E251" i="6"/>
  <c r="E252" i="6"/>
  <c r="E243" i="6"/>
  <c r="D242" i="6"/>
  <c r="D252" i="6" s="1"/>
  <c r="D262" i="6" s="1"/>
  <c r="D241" i="6"/>
  <c r="D251" i="6" s="1"/>
  <c r="D261" i="6" s="1"/>
  <c r="D240" i="6"/>
  <c r="D250" i="6" s="1"/>
  <c r="D260" i="6" s="1"/>
  <c r="D239" i="6"/>
  <c r="D249" i="6" s="1"/>
  <c r="D259" i="6" s="1"/>
  <c r="D238" i="6"/>
  <c r="D248" i="6" s="1"/>
  <c r="D258" i="6" s="1"/>
  <c r="D237" i="6"/>
  <c r="D247" i="6" s="1"/>
  <c r="D257" i="6" s="1"/>
  <c r="D236" i="6"/>
  <c r="D246" i="6" s="1"/>
  <c r="D256" i="6" s="1"/>
  <c r="D235" i="6"/>
  <c r="D245" i="6" s="1"/>
  <c r="D255" i="6" s="1"/>
  <c r="D234" i="6"/>
  <c r="D244" i="6" s="1"/>
  <c r="D254" i="6" s="1"/>
  <c r="D233" i="6"/>
  <c r="D243" i="6" s="1"/>
  <c r="D253" i="6" s="1"/>
  <c r="I183" i="6" l="1"/>
  <c r="I184" i="6"/>
  <c r="I185" i="6"/>
  <c r="I186" i="6"/>
  <c r="I187" i="6"/>
  <c r="I188" i="6"/>
  <c r="I189" i="6"/>
  <c r="I190" i="6"/>
  <c r="I191" i="6"/>
  <c r="I192" i="6"/>
  <c r="L213" i="6"/>
  <c r="L214" i="6"/>
  <c r="L215" i="6"/>
  <c r="L216" i="6"/>
  <c r="L217" i="6"/>
  <c r="L218" i="6"/>
  <c r="L219" i="6"/>
  <c r="L220" i="6"/>
  <c r="L221" i="6"/>
  <c r="L222" i="6"/>
  <c r="D184" i="6"/>
  <c r="D194" i="6" s="1"/>
  <c r="D204" i="6" s="1"/>
  <c r="D214" i="6" s="1"/>
  <c r="D185" i="6"/>
  <c r="D195" i="6" s="1"/>
  <c r="D205" i="6" s="1"/>
  <c r="D215" i="6" s="1"/>
  <c r="D186" i="6"/>
  <c r="D196" i="6" s="1"/>
  <c r="D206" i="6" s="1"/>
  <c r="D216" i="6" s="1"/>
  <c r="D187" i="6"/>
  <c r="D197" i="6" s="1"/>
  <c r="D207" i="6" s="1"/>
  <c r="D217" i="6" s="1"/>
  <c r="D188" i="6"/>
  <c r="D198" i="6" s="1"/>
  <c r="D208" i="6" s="1"/>
  <c r="D218" i="6" s="1"/>
  <c r="D189" i="6"/>
  <c r="D199" i="6" s="1"/>
  <c r="D209" i="6" s="1"/>
  <c r="D219" i="6" s="1"/>
  <c r="D190" i="6"/>
  <c r="D200" i="6" s="1"/>
  <c r="D210" i="6" s="1"/>
  <c r="D220" i="6" s="1"/>
  <c r="D191" i="6"/>
  <c r="D201" i="6" s="1"/>
  <c r="D211" i="6" s="1"/>
  <c r="D221" i="6" s="1"/>
  <c r="D192" i="6"/>
  <c r="D202" i="6" s="1"/>
  <c r="D212" i="6" s="1"/>
  <c r="D222" i="6" s="1"/>
  <c r="D183" i="6"/>
  <c r="D193" i="6" s="1"/>
  <c r="D203" i="6" s="1"/>
  <c r="D213" i="6" s="1"/>
  <c r="A182" i="6"/>
  <c r="A181" i="6"/>
  <c r="A180" i="6"/>
  <c r="A179" i="6"/>
  <c r="A178" i="6"/>
  <c r="A177" i="6"/>
  <c r="A176" i="6"/>
  <c r="A175" i="6"/>
  <c r="A174" i="6"/>
  <c r="A173" i="6"/>
  <c r="A153" i="6"/>
  <c r="A154" i="6"/>
  <c r="A155" i="6"/>
  <c r="A156" i="6"/>
  <c r="A157" i="6"/>
  <c r="A158" i="6"/>
  <c r="A159" i="6"/>
  <c r="A160" i="6"/>
  <c r="A161" i="6"/>
  <c r="A162" i="6"/>
  <c r="I42" i="6"/>
  <c r="A42" i="6" s="1"/>
  <c r="I41" i="6"/>
  <c r="A41" i="6" s="1"/>
  <c r="I40" i="6"/>
  <c r="I50" i="6" s="1"/>
  <c r="I39" i="6"/>
  <c r="I49" i="6" s="1"/>
  <c r="I38" i="6"/>
  <c r="I48" i="6" s="1"/>
  <c r="I37" i="6"/>
  <c r="I47" i="6" s="1"/>
  <c r="I36" i="6"/>
  <c r="I46" i="6" s="1"/>
  <c r="I35" i="6"/>
  <c r="I45" i="6" s="1"/>
  <c r="I55" i="6" s="1"/>
  <c r="I34" i="6"/>
  <c r="I44" i="6" s="1"/>
  <c r="I33" i="6"/>
  <c r="I43" i="6" s="1"/>
  <c r="I53" i="6" s="1"/>
  <c r="D32" i="6"/>
  <c r="D42" i="6" s="1"/>
  <c r="D52" i="6" s="1"/>
  <c r="D62" i="6" s="1"/>
  <c r="D72" i="6" s="1"/>
  <c r="D82" i="6" s="1"/>
  <c r="D92" i="6" s="1"/>
  <c r="D102" i="6" s="1"/>
  <c r="D112" i="6" s="1"/>
  <c r="D122" i="6" s="1"/>
  <c r="D132" i="6" s="1"/>
  <c r="D142" i="6" s="1"/>
  <c r="D152" i="6" s="1"/>
  <c r="A32" i="6"/>
  <c r="D31" i="6"/>
  <c r="D41" i="6" s="1"/>
  <c r="D51" i="6" s="1"/>
  <c r="D61" i="6" s="1"/>
  <c r="D71" i="6" s="1"/>
  <c r="D81" i="6" s="1"/>
  <c r="D91" i="6" s="1"/>
  <c r="D101" i="6" s="1"/>
  <c r="D111" i="6" s="1"/>
  <c r="D121" i="6" s="1"/>
  <c r="D131" i="6" s="1"/>
  <c r="D141" i="6" s="1"/>
  <c r="D151" i="6" s="1"/>
  <c r="A31" i="6"/>
  <c r="D30" i="6"/>
  <c r="D40" i="6" s="1"/>
  <c r="D50" i="6" s="1"/>
  <c r="D60" i="6" s="1"/>
  <c r="D70" i="6" s="1"/>
  <c r="D80" i="6" s="1"/>
  <c r="D90" i="6" s="1"/>
  <c r="D100" i="6" s="1"/>
  <c r="D110" i="6" s="1"/>
  <c r="D120" i="6" s="1"/>
  <c r="D130" i="6" s="1"/>
  <c r="D140" i="6" s="1"/>
  <c r="D150" i="6" s="1"/>
  <c r="A30" i="6"/>
  <c r="D29" i="6"/>
  <c r="D39" i="6" s="1"/>
  <c r="D49" i="6" s="1"/>
  <c r="D59" i="6" s="1"/>
  <c r="D69" i="6" s="1"/>
  <c r="D79" i="6" s="1"/>
  <c r="D89" i="6" s="1"/>
  <c r="D99" i="6" s="1"/>
  <c r="D109" i="6" s="1"/>
  <c r="D119" i="6" s="1"/>
  <c r="D129" i="6" s="1"/>
  <c r="D139" i="6" s="1"/>
  <c r="D149" i="6" s="1"/>
  <c r="A29" i="6"/>
  <c r="D28" i="6"/>
  <c r="D38" i="6" s="1"/>
  <c r="D48" i="6" s="1"/>
  <c r="D58" i="6" s="1"/>
  <c r="D68" i="6" s="1"/>
  <c r="D78" i="6" s="1"/>
  <c r="D88" i="6" s="1"/>
  <c r="D98" i="6" s="1"/>
  <c r="D108" i="6" s="1"/>
  <c r="D118" i="6" s="1"/>
  <c r="D128" i="6" s="1"/>
  <c r="D138" i="6" s="1"/>
  <c r="D148" i="6" s="1"/>
  <c r="A28" i="6"/>
  <c r="D27" i="6"/>
  <c r="D37" i="6" s="1"/>
  <c r="D47" i="6" s="1"/>
  <c r="D57" i="6" s="1"/>
  <c r="D67" i="6" s="1"/>
  <c r="D77" i="6" s="1"/>
  <c r="D87" i="6" s="1"/>
  <c r="D97" i="6" s="1"/>
  <c r="D107" i="6" s="1"/>
  <c r="D117" i="6" s="1"/>
  <c r="D127" i="6" s="1"/>
  <c r="D137" i="6" s="1"/>
  <c r="D147" i="6" s="1"/>
  <c r="A27" i="6"/>
  <c r="D26" i="6"/>
  <c r="D36" i="6" s="1"/>
  <c r="D46" i="6" s="1"/>
  <c r="D56" i="6" s="1"/>
  <c r="D66" i="6" s="1"/>
  <c r="D76" i="6" s="1"/>
  <c r="D86" i="6" s="1"/>
  <c r="D96" i="6" s="1"/>
  <c r="D106" i="6" s="1"/>
  <c r="D116" i="6" s="1"/>
  <c r="D126" i="6" s="1"/>
  <c r="D136" i="6" s="1"/>
  <c r="D146" i="6" s="1"/>
  <c r="A26" i="6"/>
  <c r="D25" i="6"/>
  <c r="D35" i="6" s="1"/>
  <c r="D45" i="6" s="1"/>
  <c r="D55" i="6" s="1"/>
  <c r="D65" i="6" s="1"/>
  <c r="D75" i="6" s="1"/>
  <c r="D85" i="6" s="1"/>
  <c r="D95" i="6" s="1"/>
  <c r="D105" i="6" s="1"/>
  <c r="D115" i="6" s="1"/>
  <c r="D125" i="6" s="1"/>
  <c r="D135" i="6" s="1"/>
  <c r="D145" i="6" s="1"/>
  <c r="A25" i="6"/>
  <c r="D24" i="6"/>
  <c r="D34" i="6" s="1"/>
  <c r="D44" i="6" s="1"/>
  <c r="D54" i="6" s="1"/>
  <c r="D64" i="6" s="1"/>
  <c r="D74" i="6" s="1"/>
  <c r="D84" i="6" s="1"/>
  <c r="D94" i="6" s="1"/>
  <c r="D104" i="6" s="1"/>
  <c r="D114" i="6" s="1"/>
  <c r="D124" i="6" s="1"/>
  <c r="D134" i="6" s="1"/>
  <c r="D144" i="6" s="1"/>
  <c r="A24" i="6"/>
  <c r="D23" i="6"/>
  <c r="D33" i="6" s="1"/>
  <c r="D43" i="6" s="1"/>
  <c r="D53" i="6" s="1"/>
  <c r="D63" i="6" s="1"/>
  <c r="D73" i="6" s="1"/>
  <c r="D83" i="6" s="1"/>
  <c r="D93" i="6" s="1"/>
  <c r="D103" i="6" s="1"/>
  <c r="D113" i="6" s="1"/>
  <c r="D123" i="6" s="1"/>
  <c r="D133" i="6" s="1"/>
  <c r="D143" i="6" s="1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D22" i="5"/>
  <c r="D32" i="5" s="1"/>
  <c r="D42" i="5" s="1"/>
  <c r="D52" i="5" s="1"/>
  <c r="D62" i="5" s="1"/>
  <c r="D72" i="5" s="1"/>
  <c r="D82" i="5" s="1"/>
  <c r="D92" i="5" s="1"/>
  <c r="D102" i="5" s="1"/>
  <c r="D112" i="5" s="1"/>
  <c r="D21" i="5"/>
  <c r="D31" i="5" s="1"/>
  <c r="D41" i="5" s="1"/>
  <c r="D51" i="5" s="1"/>
  <c r="D61" i="5" s="1"/>
  <c r="D71" i="5" s="1"/>
  <c r="D81" i="5" s="1"/>
  <c r="D91" i="5" s="1"/>
  <c r="D101" i="5" s="1"/>
  <c r="D111" i="5" s="1"/>
  <c r="D20" i="5"/>
  <c r="D30" i="5" s="1"/>
  <c r="D40" i="5" s="1"/>
  <c r="D50" i="5" s="1"/>
  <c r="D60" i="5" s="1"/>
  <c r="D70" i="5" s="1"/>
  <c r="D80" i="5" s="1"/>
  <c r="D90" i="5" s="1"/>
  <c r="D100" i="5" s="1"/>
  <c r="D110" i="5" s="1"/>
  <c r="D19" i="5"/>
  <c r="D29" i="5" s="1"/>
  <c r="D39" i="5" s="1"/>
  <c r="D49" i="5" s="1"/>
  <c r="D59" i="5" s="1"/>
  <c r="D69" i="5" s="1"/>
  <c r="D79" i="5" s="1"/>
  <c r="D89" i="5" s="1"/>
  <c r="D99" i="5" s="1"/>
  <c r="D109" i="5" s="1"/>
  <c r="D18" i="5"/>
  <c r="D28" i="5" s="1"/>
  <c r="D38" i="5" s="1"/>
  <c r="D48" i="5" s="1"/>
  <c r="D58" i="5" s="1"/>
  <c r="D68" i="5" s="1"/>
  <c r="D78" i="5" s="1"/>
  <c r="D88" i="5" s="1"/>
  <c r="D98" i="5" s="1"/>
  <c r="D108" i="5" s="1"/>
  <c r="D17" i="5"/>
  <c r="D27" i="5" s="1"/>
  <c r="D37" i="5" s="1"/>
  <c r="D47" i="5" s="1"/>
  <c r="D57" i="5" s="1"/>
  <c r="D67" i="5" s="1"/>
  <c r="D77" i="5" s="1"/>
  <c r="D87" i="5" s="1"/>
  <c r="D97" i="5" s="1"/>
  <c r="D107" i="5" s="1"/>
  <c r="D16" i="5"/>
  <c r="D26" i="5" s="1"/>
  <c r="D36" i="5" s="1"/>
  <c r="D46" i="5" s="1"/>
  <c r="D56" i="5" s="1"/>
  <c r="D66" i="5" s="1"/>
  <c r="D76" i="5" s="1"/>
  <c r="D86" i="5" s="1"/>
  <c r="D96" i="5" s="1"/>
  <c r="D106" i="5" s="1"/>
  <c r="D15" i="5"/>
  <c r="D25" i="5" s="1"/>
  <c r="D35" i="5" s="1"/>
  <c r="D45" i="5" s="1"/>
  <c r="D55" i="5" s="1"/>
  <c r="D65" i="5" s="1"/>
  <c r="D75" i="5" s="1"/>
  <c r="D85" i="5" s="1"/>
  <c r="D95" i="5" s="1"/>
  <c r="D105" i="5" s="1"/>
  <c r="D14" i="5"/>
  <c r="D24" i="5" s="1"/>
  <c r="D34" i="5" s="1"/>
  <c r="D44" i="5" s="1"/>
  <c r="D54" i="5" s="1"/>
  <c r="D64" i="5" s="1"/>
  <c r="D74" i="5" s="1"/>
  <c r="D84" i="5" s="1"/>
  <c r="D94" i="5" s="1"/>
  <c r="D104" i="5" s="1"/>
  <c r="D13" i="5"/>
  <c r="D23" i="5" s="1"/>
  <c r="D33" i="5" s="1"/>
  <c r="D43" i="5" s="1"/>
  <c r="D53" i="5" s="1"/>
  <c r="D63" i="5" s="1"/>
  <c r="D73" i="5" s="1"/>
  <c r="D83" i="5" s="1"/>
  <c r="D93" i="5" s="1"/>
  <c r="D103" i="5" s="1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39" i="6" l="1"/>
  <c r="A33" i="6"/>
  <c r="A35" i="6"/>
  <c r="A40" i="6"/>
  <c r="A34" i="6"/>
  <c r="A37" i="6"/>
  <c r="I60" i="6"/>
  <c r="A60" i="6" s="1"/>
  <c r="A50" i="6"/>
  <c r="I59" i="6"/>
  <c r="I69" i="6" s="1"/>
  <c r="A69" i="6" s="1"/>
  <c r="A49" i="6"/>
  <c r="I51" i="6"/>
  <c r="I52" i="6"/>
  <c r="I62" i="6" s="1"/>
  <c r="A62" i="6" s="1"/>
  <c r="A44" i="6"/>
  <c r="I54" i="6"/>
  <c r="I63" i="6"/>
  <c r="A53" i="6"/>
  <c r="I56" i="6"/>
  <c r="A46" i="6"/>
  <c r="I65" i="6"/>
  <c r="A55" i="6"/>
  <c r="I58" i="6"/>
  <c r="A48" i="6"/>
  <c r="I57" i="6"/>
  <c r="A47" i="6"/>
  <c r="A45" i="6"/>
  <c r="A36" i="6"/>
  <c r="A43" i="6"/>
  <c r="A38" i="6"/>
  <c r="I79" i="6" l="1"/>
  <c r="I70" i="6"/>
  <c r="I80" i="6" s="1"/>
  <c r="A59" i="6"/>
  <c r="I72" i="6"/>
  <c r="I61" i="6"/>
  <c r="A51" i="6"/>
  <c r="A52" i="6"/>
  <c r="I75" i="6"/>
  <c r="A65" i="6"/>
  <c r="I66" i="6"/>
  <c r="A56" i="6"/>
  <c r="I64" i="6"/>
  <c r="A54" i="6"/>
  <c r="I67" i="6"/>
  <c r="A57" i="6"/>
  <c r="I89" i="6"/>
  <c r="A79" i="6"/>
  <c r="A70" i="6"/>
  <c r="I73" i="6"/>
  <c r="A63" i="6"/>
  <c r="I82" i="6"/>
  <c r="A72" i="6"/>
  <c r="I68" i="6"/>
  <c r="A58" i="6"/>
  <c r="I71" i="6" l="1"/>
  <c r="A61" i="6"/>
  <c r="I92" i="6"/>
  <c r="A82" i="6"/>
  <c r="I83" i="6"/>
  <c r="A73" i="6"/>
  <c r="I90" i="6"/>
  <c r="A80" i="6"/>
  <c r="I99" i="6"/>
  <c r="A89" i="6"/>
  <c r="I77" i="6"/>
  <c r="A67" i="6"/>
  <c r="I74" i="6"/>
  <c r="A64" i="6"/>
  <c r="I78" i="6"/>
  <c r="A68" i="6"/>
  <c r="I76" i="6"/>
  <c r="A66" i="6"/>
  <c r="I85" i="6"/>
  <c r="A75" i="6"/>
  <c r="A71" i="6" l="1"/>
  <c r="I81" i="6"/>
  <c r="A76" i="6"/>
  <c r="I86" i="6"/>
  <c r="I88" i="6"/>
  <c r="A78" i="6"/>
  <c r="I84" i="6"/>
  <c r="A74" i="6"/>
  <c r="I87" i="6"/>
  <c r="A77" i="6"/>
  <c r="I109" i="6"/>
  <c r="A99" i="6"/>
  <c r="I100" i="6"/>
  <c r="A90" i="6"/>
  <c r="I95" i="6"/>
  <c r="A85" i="6"/>
  <c r="I93" i="6"/>
  <c r="A83" i="6"/>
  <c r="A92" i="6"/>
  <c r="I102" i="6"/>
  <c r="A81" i="6" l="1"/>
  <c r="I91" i="6"/>
  <c r="I103" i="6"/>
  <c r="A93" i="6"/>
  <c r="I98" i="6"/>
  <c r="A88" i="6"/>
  <c r="I105" i="6"/>
  <c r="A95" i="6"/>
  <c r="I110" i="6"/>
  <c r="A100" i="6"/>
  <c r="I119" i="6"/>
  <c r="A109" i="6"/>
  <c r="I112" i="6"/>
  <c r="A102" i="6"/>
  <c r="I96" i="6"/>
  <c r="A86" i="6"/>
  <c r="A87" i="6"/>
  <c r="I97" i="6"/>
  <c r="I94" i="6"/>
  <c r="A84" i="6"/>
  <c r="I101" i="6" l="1"/>
  <c r="A91" i="6"/>
  <c r="I106" i="6"/>
  <c r="A96" i="6"/>
  <c r="I122" i="6"/>
  <c r="A112" i="6"/>
  <c r="I129" i="6"/>
  <c r="A119" i="6"/>
  <c r="I120" i="6"/>
  <c r="A110" i="6"/>
  <c r="A97" i="6"/>
  <c r="I107" i="6"/>
  <c r="I115" i="6"/>
  <c r="A105" i="6"/>
  <c r="I108" i="6"/>
  <c r="A98" i="6"/>
  <c r="I104" i="6"/>
  <c r="A94" i="6"/>
  <c r="I113" i="6"/>
  <c r="A103" i="6"/>
  <c r="A101" i="6" l="1"/>
  <c r="I111" i="6"/>
  <c r="I117" i="6"/>
  <c r="A107" i="6"/>
  <c r="I130" i="6"/>
  <c r="A120" i="6"/>
  <c r="I132" i="6"/>
  <c r="A122" i="6"/>
  <c r="I118" i="6"/>
  <c r="A108" i="6"/>
  <c r="I125" i="6"/>
  <c r="A115" i="6"/>
  <c r="I139" i="6"/>
  <c r="A129" i="6"/>
  <c r="I123" i="6"/>
  <c r="A113" i="6"/>
  <c r="I114" i="6"/>
  <c r="A104" i="6"/>
  <c r="I116" i="6"/>
  <c r="A106" i="6"/>
  <c r="I121" i="6" l="1"/>
  <c r="A111" i="6"/>
  <c r="I133" i="6"/>
  <c r="A123" i="6"/>
  <c r="I135" i="6"/>
  <c r="A125" i="6"/>
  <c r="I128" i="6"/>
  <c r="A118" i="6"/>
  <c r="I140" i="6"/>
  <c r="A130" i="6"/>
  <c r="I149" i="6"/>
  <c r="A149" i="6" s="1"/>
  <c r="A139" i="6"/>
  <c r="I142" i="6"/>
  <c r="A132" i="6"/>
  <c r="I126" i="6"/>
  <c r="A116" i="6"/>
  <c r="I124" i="6"/>
  <c r="A114" i="6"/>
  <c r="I127" i="6"/>
  <c r="A117" i="6"/>
  <c r="I131" i="6" l="1"/>
  <c r="A121" i="6"/>
  <c r="I150" i="6"/>
  <c r="A150" i="6" s="1"/>
  <c r="A140" i="6"/>
  <c r="I138" i="6"/>
  <c r="A128" i="6"/>
  <c r="I145" i="6"/>
  <c r="A145" i="6" s="1"/>
  <c r="A135" i="6"/>
  <c r="I152" i="6"/>
  <c r="A152" i="6" s="1"/>
  <c r="A142" i="6"/>
  <c r="I136" i="6"/>
  <c r="A126" i="6"/>
  <c r="I137" i="6"/>
  <c r="A127" i="6"/>
  <c r="I134" i="6"/>
  <c r="A124" i="6"/>
  <c r="I143" i="6"/>
  <c r="A143" i="6" s="1"/>
  <c r="A133" i="6"/>
  <c r="I141" i="6" l="1"/>
  <c r="A131" i="6"/>
  <c r="I144" i="6"/>
  <c r="A144" i="6" s="1"/>
  <c r="A134" i="6"/>
  <c r="I147" i="6"/>
  <c r="A147" i="6" s="1"/>
  <c r="A137" i="6"/>
  <c r="I146" i="6"/>
  <c r="A146" i="6" s="1"/>
  <c r="A136" i="6"/>
  <c r="I148" i="6"/>
  <c r="A148" i="6" s="1"/>
  <c r="A138" i="6"/>
  <c r="A141" i="6" l="1"/>
  <c r="I151" i="6"/>
  <c r="A151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1：武力攻击
2：内息攻击
3：筋骨防御
4：内息防御
5：筋骨气血
6：身法暴击
7：身法免暴
8：身法暴击伤害
9：身法暴击减免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26250</author>
  </authors>
  <commentList>
    <comment ref="B1" authorId="0" shapeId="0" xr:uid="{00000000-0006-0000-0300-000001000000}">
      <text>
        <r>
          <rPr>
            <b/>
            <sz val="9"/>
            <rFont val="宋体"/>
            <family val="3"/>
            <charset val="134"/>
          </rPr>
          <t>26250:</t>
        </r>
        <r>
          <rPr>
            <sz val="9"/>
            <rFont val="宋体"/>
            <family val="3"/>
            <charset val="134"/>
          </rPr>
          <t xml:space="preserve">
暂时无用，做扩展字段预留</t>
        </r>
      </text>
    </comment>
  </commentList>
</comments>
</file>

<file path=xl/sharedStrings.xml><?xml version="1.0" encoding="utf-8"?>
<sst xmlns="http://schemas.openxmlformats.org/spreadsheetml/2006/main" count="686" uniqueCount="120">
  <si>
    <t>战斗属性</t>
  </si>
  <si>
    <t>备注</t>
  </si>
  <si>
    <t>计算公式</t>
  </si>
  <si>
    <t>计算公式2</t>
  </si>
  <si>
    <t>最大值计算公式(没有就不要填写)</t>
  </si>
  <si>
    <t>name</t>
  </si>
  <si>
    <t>method</t>
  </si>
  <si>
    <t>method2</t>
  </si>
  <si>
    <t>max</t>
  </si>
  <si>
    <t>外功攻击</t>
  </si>
  <si>
    <t>武力*武力攻击境界等级系数</t>
  </si>
  <si>
    <t>内功攻击</t>
  </si>
  <si>
    <t>内息*内息攻击境界等级系数</t>
  </si>
  <si>
    <t>移动速度</t>
  </si>
  <si>
    <t>1000*2</t>
  </si>
  <si>
    <t>外功防御</t>
  </si>
  <si>
    <t>筋骨*筋骨防御境界等级系数</t>
  </si>
  <si>
    <t>内功防御</t>
  </si>
  <si>
    <t>内息*内息防御境界等级系数</t>
  </si>
  <si>
    <t>气血值</t>
  </si>
  <si>
    <t>筋骨*筋骨气血境界等级系数</t>
  </si>
  <si>
    <t>气血恢复</t>
  </si>
  <si>
    <t>每秒恢复N点气血</t>
  </si>
  <si>
    <t>体力恢复</t>
  </si>
  <si>
    <t>每秒恢复N点体力</t>
  </si>
  <si>
    <t>内劲增长</t>
  </si>
  <si>
    <t>这里表示内径增长百分点</t>
  </si>
  <si>
    <t>悟性值</t>
  </si>
  <si>
    <t>秘术的Cost上限</t>
  </si>
  <si>
    <t>悟性*修为悟性境界等级系数</t>
  </si>
  <si>
    <t>修为增长</t>
  </si>
  <si>
    <t>战斗后额外获取修为增加百分比</t>
  </si>
  <si>
    <t>命中</t>
  </si>
  <si>
    <t>闪避</t>
  </si>
  <si>
    <t>暴击</t>
  </si>
  <si>
    <t>与免暴一起计算出暴击触发概率</t>
  </si>
  <si>
    <t>身法*身法暴击境界等级系数</t>
  </si>
  <si>
    <t>免暴</t>
  </si>
  <si>
    <t>筋骨*筋骨免暴境界等级系数</t>
  </si>
  <si>
    <t>暴击伤害</t>
  </si>
  <si>
    <t>身法*身法暴击伤害境界等级系数</t>
  </si>
  <si>
    <t>暴击减免</t>
  </si>
  <si>
    <t>筋骨*筋骨暴击减免境界等级系数</t>
  </si>
  <si>
    <t>真气上限</t>
  </si>
  <si>
    <t>真气</t>
  </si>
  <si>
    <t>体力上限</t>
  </si>
  <si>
    <t>100*2</t>
  </si>
  <si>
    <t>境界系数ID</t>
  </si>
  <si>
    <t>系数类型</t>
  </si>
  <si>
    <t>名称</t>
  </si>
  <si>
    <t>境界等级</t>
  </si>
  <si>
    <t>系数值</t>
  </si>
  <si>
    <t>id</t>
  </si>
  <si>
    <t>type</t>
  </si>
  <si>
    <t>level</t>
  </si>
  <si>
    <t>value</t>
  </si>
  <si>
    <t>武力攻击境界等级系数</t>
  </si>
  <si>
    <t>1：武力攻击</t>
  </si>
  <si>
    <t>2：内息攻击</t>
  </si>
  <si>
    <t>3：筋骨防御</t>
  </si>
  <si>
    <t>4：内息防御</t>
  </si>
  <si>
    <t>5：筋骨气血</t>
  </si>
  <si>
    <t>6：身法暴击</t>
  </si>
  <si>
    <t>内息攻击境界等级系数</t>
  </si>
  <si>
    <t>7：筋骨免暴</t>
  </si>
  <si>
    <t>8：身法暴击伤害</t>
  </si>
  <si>
    <t>9：筋骨暴击减免</t>
  </si>
  <si>
    <t>10：修为悟性境界等级系数</t>
  </si>
  <si>
    <t>11：修为修为增长境界等级系数</t>
  </si>
  <si>
    <t>筋骨防御境界等级系数</t>
  </si>
  <si>
    <t>内息防御境界等级系数</t>
  </si>
  <si>
    <t>筋骨气血境界等级系数</t>
  </si>
  <si>
    <t>身法暴击境界等级系数</t>
  </si>
  <si>
    <t>筋骨免暴境界等级系数</t>
  </si>
  <si>
    <t>身法暴击伤害境界等级系数</t>
  </si>
  <si>
    <t>筋骨暴击减免境界等级系数</t>
  </si>
  <si>
    <t>修为悟性境界等级系数</t>
  </si>
  <si>
    <t>修为增长境界等级系数</t>
  </si>
  <si>
    <t>累计初始真气</t>
  </si>
  <si>
    <t>初始真气获取系数</t>
  </si>
  <si>
    <t>rateZhenQi</t>
  </si>
  <si>
    <t>通用暴击</t>
  </si>
  <si>
    <t>暴击几率</t>
  </si>
  <si>
    <t>通用暴伤</t>
  </si>
  <si>
    <t>拳法系数</t>
  </si>
  <si>
    <t>剑法系数</t>
  </si>
  <si>
    <t>重剑系数</t>
  </si>
  <si>
    <t>长兵系数</t>
  </si>
  <si>
    <t>众相菩提杖</t>
  </si>
  <si>
    <t>扇子系数</t>
  </si>
  <si>
    <t>暗器系数</t>
  </si>
  <si>
    <t>腿脚系数</t>
  </si>
  <si>
    <t>拔刀系数</t>
  </si>
  <si>
    <t>绳镖系数</t>
  </si>
  <si>
    <t>火器系数</t>
  </si>
  <si>
    <t>弓箭系数</t>
  </si>
  <si>
    <t>短兵系数</t>
  </si>
  <si>
    <t>治疗系数</t>
  </si>
  <si>
    <t>护盾系数</t>
  </si>
  <si>
    <t>护盾系数</t>
    <phoneticPr fontId="10" type="noConversion"/>
  </si>
  <si>
    <t>涯无书暴击系数</t>
    <phoneticPr fontId="10" type="noConversion"/>
  </si>
  <si>
    <t>天龙披山防御系数</t>
    <phoneticPr fontId="10" type="noConversion"/>
  </si>
  <si>
    <t>丹脉庇身防御系数</t>
    <phoneticPr fontId="10" type="noConversion"/>
  </si>
  <si>
    <t>净辟苏息系数</t>
    <phoneticPr fontId="10" type="noConversion"/>
  </si>
  <si>
    <t>真气上限系数</t>
    <phoneticPr fontId="10" type="noConversion"/>
  </si>
  <si>
    <t>6</t>
    <phoneticPr fontId="10" type="noConversion"/>
  </si>
  <si>
    <t>6</t>
  </si>
  <si>
    <t>7</t>
    <phoneticPr fontId="10" type="noConversion"/>
  </si>
  <si>
    <t>气血上限系数</t>
    <phoneticPr fontId="10" type="noConversion"/>
  </si>
  <si>
    <t>身飘絮体力上限系数</t>
    <phoneticPr fontId="10" type="noConversion"/>
  </si>
  <si>
    <t>7</t>
  </si>
  <si>
    <t>基础血量系数</t>
    <phoneticPr fontId="10" type="noConversion"/>
  </si>
  <si>
    <t>剽勇轻悍系数</t>
    <phoneticPr fontId="10" type="noConversion"/>
  </si>
  <si>
    <t>1128</t>
    <phoneticPr fontId="10" type="noConversion"/>
  </si>
  <si>
    <t>中天诸悬系数</t>
    <phoneticPr fontId="10" type="noConversion"/>
  </si>
  <si>
    <t>车载竹系数</t>
    <phoneticPr fontId="10" type="noConversion"/>
  </si>
  <si>
    <t>淤蛊种血系数</t>
    <phoneticPr fontId="10" type="noConversion"/>
  </si>
  <si>
    <t>吸星噬寰图系数</t>
    <phoneticPr fontId="10" type="noConversion"/>
  </si>
  <si>
    <t>身法*5</t>
    <phoneticPr fontId="10" type="noConversion"/>
  </si>
  <si>
    <t>悟性*修为增长境界等级系数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</si>
</sst>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charset val="134"/>
      <scheme val="minor"/>
    </font>
    <font>
      <sz val="10.5"/>
      <color theme="1"/>
      <name val="等线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等线"/>
      <family val="3"/>
      <charset val="134"/>
    </font>
    <font>
      <sz val="12"/>
      <color theme="1"/>
      <name val="等线"/>
      <family val="3"/>
      <charset val="134"/>
    </font>
    <font>
      <sz val="10.5"/>
      <color theme="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9" tint="0.39985351115451523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8840296639912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0" fillId="5" borderId="2" xfId="0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2" fillId="5" borderId="3" xfId="0" applyFont="1" applyFill="1" applyBorder="1" applyAlignment="1">
      <alignment horizontal="left"/>
    </xf>
    <xf numFmtId="0" fontId="0" fillId="5" borderId="4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0" fillId="6" borderId="2" xfId="0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7" borderId="1" xfId="0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0" fillId="7" borderId="2" xfId="0" applyFill="1" applyBorder="1" applyAlignment="1">
      <alignment horizontal="left"/>
    </xf>
    <xf numFmtId="0" fontId="0" fillId="8" borderId="1" xfId="0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0" fillId="8" borderId="2" xfId="0" applyFill="1" applyBorder="1" applyAlignment="1">
      <alignment horizontal="left"/>
    </xf>
    <xf numFmtId="0" fontId="0" fillId="9" borderId="1" xfId="0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0" fillId="9" borderId="2" xfId="0" applyFill="1" applyBorder="1" applyAlignment="1">
      <alignment horizontal="left"/>
    </xf>
    <xf numFmtId="0" fontId="0" fillId="9" borderId="3" xfId="0" applyFill="1" applyBorder="1" applyAlignment="1">
      <alignment horizontal="left"/>
    </xf>
    <xf numFmtId="0" fontId="2" fillId="9" borderId="3" xfId="0" applyFont="1" applyFill="1" applyBorder="1" applyAlignment="1">
      <alignment horizontal="left"/>
    </xf>
    <xf numFmtId="0" fontId="0" fillId="9" borderId="4" xfId="0" applyFill="1" applyBorder="1" applyAlignment="1">
      <alignment horizontal="left"/>
    </xf>
    <xf numFmtId="0" fontId="2" fillId="6" borderId="1" xfId="0" applyFont="1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 applyAlignment="1">
      <alignment horizontal="left"/>
    </xf>
    <xf numFmtId="0" fontId="2" fillId="10" borderId="1" xfId="0" applyFont="1" applyFill="1" applyBorder="1" applyAlignment="1">
      <alignment horizontal="left"/>
    </xf>
    <xf numFmtId="0" fontId="0" fillId="10" borderId="0" xfId="0" applyFill="1"/>
    <xf numFmtId="0" fontId="0" fillId="10" borderId="1" xfId="0" applyFill="1" applyBorder="1"/>
    <xf numFmtId="0" fontId="0" fillId="11" borderId="1" xfId="0" applyFill="1" applyBorder="1" applyAlignment="1">
      <alignment horizontal="left"/>
    </xf>
    <xf numFmtId="0" fontId="2" fillId="11" borderId="1" xfId="0" applyFont="1" applyFill="1" applyBorder="1" applyAlignment="1">
      <alignment horizontal="left"/>
    </xf>
    <xf numFmtId="0" fontId="0" fillId="11" borderId="0" xfId="0" applyFill="1"/>
    <xf numFmtId="0" fontId="0" fillId="11" borderId="1" xfId="0" applyFill="1" applyBorder="1"/>
    <xf numFmtId="0" fontId="0" fillId="2" borderId="0" xfId="0" applyFill="1"/>
    <xf numFmtId="0" fontId="0" fillId="2" borderId="1" xfId="0" applyFill="1" applyBorder="1"/>
    <xf numFmtId="0" fontId="0" fillId="12" borderId="0" xfId="0" applyFill="1"/>
    <xf numFmtId="0" fontId="0" fillId="13" borderId="0" xfId="0" applyFill="1"/>
    <xf numFmtId="49" fontId="6" fillId="12" borderId="1" xfId="0" applyNumberFormat="1" applyFont="1" applyFill="1" applyBorder="1"/>
    <xf numFmtId="49" fontId="6" fillId="13" borderId="1" xfId="0" applyNumberFormat="1" applyFont="1" applyFill="1" applyBorder="1"/>
    <xf numFmtId="0" fontId="0" fillId="0" borderId="1" xfId="0" applyBorder="1"/>
    <xf numFmtId="0" fontId="0" fillId="4" borderId="1" xfId="0" applyFill="1" applyBorder="1" applyAlignment="1">
      <alignment horizontal="left"/>
    </xf>
    <xf numFmtId="0" fontId="0" fillId="2" borderId="1" xfId="0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/>
    </xf>
    <xf numFmtId="0" fontId="0" fillId="14" borderId="1" xfId="0" applyFill="1" applyBorder="1" applyAlignment="1">
      <alignment horizontal="left"/>
    </xf>
    <xf numFmtId="0" fontId="0" fillId="15" borderId="1" xfId="0" applyFill="1" applyBorder="1" applyAlignment="1">
      <alignment horizontal="left"/>
    </xf>
    <xf numFmtId="0" fontId="0" fillId="12" borderId="1" xfId="0" applyFill="1" applyBorder="1" applyAlignment="1">
      <alignment horizontal="left"/>
    </xf>
    <xf numFmtId="0" fontId="7" fillId="16" borderId="0" xfId="0" applyFont="1" applyFill="1"/>
    <xf numFmtId="0" fontId="7" fillId="15" borderId="0" xfId="0" applyFont="1" applyFill="1"/>
    <xf numFmtId="0" fontId="0" fillId="17" borderId="0" xfId="0" applyFill="1"/>
    <xf numFmtId="0" fontId="0" fillId="18" borderId="1" xfId="0" applyFill="1" applyBorder="1" applyAlignment="1">
      <alignment horizontal="left"/>
    </xf>
    <xf numFmtId="0" fontId="0" fillId="19" borderId="1" xfId="0" applyFill="1" applyBorder="1" applyAlignment="1">
      <alignment horizontal="left"/>
    </xf>
    <xf numFmtId="49" fontId="0" fillId="18" borderId="1" xfId="0" applyNumberFormat="1" applyFill="1" applyBorder="1"/>
    <xf numFmtId="0" fontId="0" fillId="18" borderId="0" xfId="0" applyFill="1" applyAlignment="1">
      <alignment vertical="center"/>
    </xf>
    <xf numFmtId="49" fontId="0" fillId="20" borderId="1" xfId="0" applyNumberFormat="1" applyFill="1" applyBorder="1"/>
    <xf numFmtId="0" fontId="0" fillId="20" borderId="0" xfId="0" applyFill="1" applyAlignment="1">
      <alignment vertical="center"/>
    </xf>
    <xf numFmtId="0" fontId="0" fillId="2" borderId="3" xfId="0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0" fillId="2" borderId="3" xfId="0" applyFill="1" applyBorder="1"/>
    <xf numFmtId="0" fontId="0" fillId="2" borderId="5" xfId="0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0" fillId="18" borderId="1" xfId="0" applyFill="1" applyBorder="1"/>
    <xf numFmtId="0" fontId="2" fillId="19" borderId="1" xfId="0" applyFont="1" applyFill="1" applyBorder="1"/>
    <xf numFmtId="0" fontId="0" fillId="19" borderId="1" xfId="0" applyFill="1" applyBorder="1"/>
    <xf numFmtId="0" fontId="2" fillId="0" borderId="0" xfId="0" applyFont="1"/>
    <xf numFmtId="0" fontId="0" fillId="13" borderId="1" xfId="0" applyFill="1" applyBorder="1" applyAlignment="1">
      <alignment horizontal="left"/>
    </xf>
    <xf numFmtId="0" fontId="2" fillId="13" borderId="1" xfId="0" applyFont="1" applyFill="1" applyBorder="1" applyAlignment="1">
      <alignment horizontal="left"/>
    </xf>
    <xf numFmtId="0" fontId="0" fillId="7" borderId="1" xfId="0" applyFill="1" applyBorder="1"/>
    <xf numFmtId="0" fontId="0" fillId="2" borderId="6" xfId="0" applyFill="1" applyBorder="1" applyAlignment="1">
      <alignment horizontal="left"/>
    </xf>
    <xf numFmtId="49" fontId="0" fillId="0" borderId="0" xfId="0" applyNumberFormat="1"/>
    <xf numFmtId="0" fontId="0" fillId="0" borderId="2" xfId="0" applyBorder="1" applyAlignment="1">
      <alignment horizontal="left"/>
    </xf>
    <xf numFmtId="0" fontId="2" fillId="18" borderId="1" xfId="0" applyFont="1" applyFill="1" applyBorder="1"/>
    <xf numFmtId="0" fontId="0" fillId="21" borderId="1" xfId="0" applyFill="1" applyBorder="1" applyAlignment="1">
      <alignment horizontal="left"/>
    </xf>
    <xf numFmtId="0" fontId="2" fillId="21" borderId="1" xfId="0" applyFont="1" applyFill="1" applyBorder="1" applyAlignment="1">
      <alignment horizontal="left"/>
    </xf>
  </cellXfs>
  <cellStyles count="1">
    <cellStyle name="常规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workbookViewId="0">
      <selection activeCell="B23" sqref="B23"/>
    </sheetView>
  </sheetViews>
  <sheetFormatPr defaultColWidth="9" defaultRowHeight="14.4" x14ac:dyDescent="0.25"/>
  <cols>
    <col min="1" max="1" width="25.44140625" customWidth="1"/>
    <col min="2" max="2" width="31.44140625" customWidth="1"/>
    <col min="3" max="4" width="33.44140625" customWidth="1"/>
    <col min="5" max="5" width="26.77734375" customWidth="1"/>
  </cols>
  <sheetData>
    <row r="1" spans="1:5" s="63" customFormat="1" ht="19.2" customHeight="1" x14ac:dyDescent="0.25">
      <c r="A1" s="63" t="s">
        <v>0</v>
      </c>
      <c r="B1" s="63" t="s">
        <v>1</v>
      </c>
      <c r="C1" s="63" t="s">
        <v>2</v>
      </c>
      <c r="D1" s="63" t="s">
        <v>3</v>
      </c>
      <c r="E1" s="63" t="s">
        <v>4</v>
      </c>
    </row>
    <row r="2" spans="1:5" s="64" customFormat="1" ht="19.2" customHeight="1" x14ac:dyDescent="0.25">
      <c r="A2" s="64" t="s">
        <v>5</v>
      </c>
      <c r="C2" s="64" t="s">
        <v>6</v>
      </c>
      <c r="D2" s="64" t="s">
        <v>7</v>
      </c>
      <c r="E2" s="64" t="s">
        <v>8</v>
      </c>
    </row>
    <row r="3" spans="1:5" x14ac:dyDescent="0.25">
      <c r="A3" t="s">
        <v>9</v>
      </c>
      <c r="C3" t="s">
        <v>10</v>
      </c>
    </row>
    <row r="4" spans="1:5" x14ac:dyDescent="0.25">
      <c r="A4" t="s">
        <v>11</v>
      </c>
      <c r="C4" t="s">
        <v>12</v>
      </c>
    </row>
    <row r="5" spans="1:5" x14ac:dyDescent="0.25">
      <c r="A5" t="s">
        <v>13</v>
      </c>
      <c r="C5" s="80" t="s">
        <v>118</v>
      </c>
      <c r="E5" t="s">
        <v>14</v>
      </c>
    </row>
    <row r="6" spans="1:5" x14ac:dyDescent="0.25">
      <c r="A6" t="s">
        <v>15</v>
      </c>
      <c r="C6" t="s">
        <v>16</v>
      </c>
    </row>
    <row r="7" spans="1:5" x14ac:dyDescent="0.25">
      <c r="A7" t="s">
        <v>17</v>
      </c>
      <c r="C7" t="s">
        <v>18</v>
      </c>
    </row>
    <row r="8" spans="1:5" x14ac:dyDescent="0.25">
      <c r="A8" t="s">
        <v>19</v>
      </c>
      <c r="C8" t="s">
        <v>20</v>
      </c>
    </row>
    <row r="9" spans="1:5" x14ac:dyDescent="0.25">
      <c r="A9" t="s">
        <v>21</v>
      </c>
      <c r="B9" t="s">
        <v>22</v>
      </c>
    </row>
    <row r="10" spans="1:5" x14ac:dyDescent="0.25">
      <c r="A10" t="s">
        <v>23</v>
      </c>
      <c r="B10" t="s">
        <v>24</v>
      </c>
    </row>
    <row r="11" spans="1:5" x14ac:dyDescent="0.25">
      <c r="A11" t="s">
        <v>25</v>
      </c>
      <c r="B11" t="s">
        <v>26</v>
      </c>
    </row>
    <row r="12" spans="1:5" x14ac:dyDescent="0.25">
      <c r="A12" t="s">
        <v>27</v>
      </c>
      <c r="B12" t="s">
        <v>28</v>
      </c>
      <c r="C12" t="s">
        <v>29</v>
      </c>
    </row>
    <row r="13" spans="1:5" x14ac:dyDescent="0.25">
      <c r="A13" t="s">
        <v>30</v>
      </c>
      <c r="B13" t="s">
        <v>31</v>
      </c>
      <c r="C13" s="80" t="s">
        <v>119</v>
      </c>
    </row>
    <row r="14" spans="1:5" x14ac:dyDescent="0.25">
      <c r="A14" t="s">
        <v>32</v>
      </c>
    </row>
    <row r="15" spans="1:5" x14ac:dyDescent="0.25">
      <c r="A15" t="s">
        <v>33</v>
      </c>
    </row>
    <row r="16" spans="1:5" x14ac:dyDescent="0.25">
      <c r="A16" t="s">
        <v>34</v>
      </c>
      <c r="B16" t="s">
        <v>35</v>
      </c>
      <c r="C16" t="s">
        <v>36</v>
      </c>
    </row>
    <row r="17" spans="1:5" x14ac:dyDescent="0.25">
      <c r="A17" t="s">
        <v>37</v>
      </c>
      <c r="C17" t="s">
        <v>38</v>
      </c>
    </row>
    <row r="18" spans="1:5" x14ac:dyDescent="0.25">
      <c r="A18" t="s">
        <v>39</v>
      </c>
      <c r="C18" t="s">
        <v>40</v>
      </c>
    </row>
    <row r="19" spans="1:5" x14ac:dyDescent="0.25">
      <c r="A19" t="s">
        <v>41</v>
      </c>
      <c r="C19" t="s">
        <v>42</v>
      </c>
    </row>
    <row r="20" spans="1:5" x14ac:dyDescent="0.25">
      <c r="A20" t="s">
        <v>43</v>
      </c>
      <c r="C20" s="68" t="s">
        <v>104</v>
      </c>
    </row>
    <row r="21" spans="1:5" x14ac:dyDescent="0.25">
      <c r="A21" t="s">
        <v>44</v>
      </c>
      <c r="C21" s="65"/>
    </row>
    <row r="22" spans="1:5" x14ac:dyDescent="0.25">
      <c r="A22" t="s">
        <v>45</v>
      </c>
      <c r="E22" t="s">
        <v>46</v>
      </c>
    </row>
  </sheetData>
  <phoneticPr fontId="1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12"/>
  <sheetViews>
    <sheetView tabSelected="1" topLeftCell="A83" workbookViewId="0">
      <selection activeCell="H99" sqref="H99"/>
    </sheetView>
  </sheetViews>
  <sheetFormatPr defaultColWidth="9" defaultRowHeight="14.4" x14ac:dyDescent="0.25"/>
  <cols>
    <col min="1" max="1" width="13.88671875" customWidth="1"/>
    <col min="3" max="3" width="21.33203125" customWidth="1"/>
    <col min="4" max="4" width="9" customWidth="1"/>
  </cols>
  <sheetData>
    <row r="1" spans="1:16" x14ac:dyDescent="0.25">
      <c r="A1" s="3" t="s">
        <v>47</v>
      </c>
      <c r="B1" s="3" t="s">
        <v>48</v>
      </c>
      <c r="C1" s="3" t="s">
        <v>49</v>
      </c>
      <c r="D1" s="3" t="s">
        <v>50</v>
      </c>
      <c r="E1" s="3" t="s">
        <v>51</v>
      </c>
    </row>
    <row r="2" spans="1:16" x14ac:dyDescent="0.25">
      <c r="A2" s="56" t="s">
        <v>52</v>
      </c>
      <c r="B2" s="56" t="s">
        <v>53</v>
      </c>
      <c r="C2" s="56" t="s">
        <v>5</v>
      </c>
      <c r="D2" s="56" t="s">
        <v>54</v>
      </c>
      <c r="E2" s="56" t="s">
        <v>55</v>
      </c>
    </row>
    <row r="3" spans="1:16" x14ac:dyDescent="0.25">
      <c r="A3" s="14">
        <v>1001</v>
      </c>
      <c r="B3" s="14">
        <v>1</v>
      </c>
      <c r="C3" s="14" t="s">
        <v>56</v>
      </c>
      <c r="D3" s="14">
        <v>1</v>
      </c>
      <c r="E3" s="57">
        <v>2</v>
      </c>
    </row>
    <row r="4" spans="1:16" x14ac:dyDescent="0.25">
      <c r="A4" s="14">
        <f>A3+1</f>
        <v>1002</v>
      </c>
      <c r="B4" s="14">
        <v>1</v>
      </c>
      <c r="C4" s="14" t="s">
        <v>56</v>
      </c>
      <c r="D4" s="14">
        <v>2</v>
      </c>
      <c r="E4" s="57">
        <v>2</v>
      </c>
    </row>
    <row r="5" spans="1:16" x14ac:dyDescent="0.25">
      <c r="A5" s="14">
        <f t="shared" ref="A5:A68" si="0">A4+1</f>
        <v>1003</v>
      </c>
      <c r="B5" s="14">
        <v>1</v>
      </c>
      <c r="C5" s="14" t="s">
        <v>56</v>
      </c>
      <c r="D5" s="14">
        <v>3</v>
      </c>
      <c r="E5" s="57">
        <v>2</v>
      </c>
    </row>
    <row r="6" spans="1:16" x14ac:dyDescent="0.25">
      <c r="A6" s="14">
        <f t="shared" si="0"/>
        <v>1004</v>
      </c>
      <c r="B6" s="14">
        <v>1</v>
      </c>
      <c r="C6" s="14" t="s">
        <v>56</v>
      </c>
      <c r="D6" s="14">
        <v>4</v>
      </c>
      <c r="E6" s="57">
        <v>4</v>
      </c>
    </row>
    <row r="7" spans="1:16" x14ac:dyDescent="0.25">
      <c r="A7" s="14">
        <f t="shared" si="0"/>
        <v>1005</v>
      </c>
      <c r="B7" s="14">
        <v>1</v>
      </c>
      <c r="C7" s="14" t="s">
        <v>56</v>
      </c>
      <c r="D7" s="14">
        <v>5</v>
      </c>
      <c r="E7" s="57">
        <v>6</v>
      </c>
      <c r="P7" t="s">
        <v>57</v>
      </c>
    </row>
    <row r="8" spans="1:16" x14ac:dyDescent="0.25">
      <c r="A8" s="14">
        <f t="shared" si="0"/>
        <v>1006</v>
      </c>
      <c r="B8" s="14">
        <v>1</v>
      </c>
      <c r="C8" s="14" t="s">
        <v>56</v>
      </c>
      <c r="D8" s="14">
        <v>6</v>
      </c>
      <c r="E8" s="57">
        <v>10</v>
      </c>
      <c r="P8" t="s">
        <v>58</v>
      </c>
    </row>
    <row r="9" spans="1:16" x14ac:dyDescent="0.25">
      <c r="A9" s="14">
        <f t="shared" si="0"/>
        <v>1007</v>
      </c>
      <c r="B9" s="14">
        <v>1</v>
      </c>
      <c r="C9" s="14" t="s">
        <v>56</v>
      </c>
      <c r="D9" s="14">
        <v>7</v>
      </c>
      <c r="E9" s="57">
        <v>16</v>
      </c>
      <c r="P9" t="s">
        <v>59</v>
      </c>
    </row>
    <row r="10" spans="1:16" x14ac:dyDescent="0.25">
      <c r="A10" s="14">
        <f t="shared" si="0"/>
        <v>1008</v>
      </c>
      <c r="B10" s="14">
        <v>1</v>
      </c>
      <c r="C10" s="14" t="s">
        <v>56</v>
      </c>
      <c r="D10" s="14">
        <v>8</v>
      </c>
      <c r="E10" s="57">
        <v>26</v>
      </c>
      <c r="P10" t="s">
        <v>60</v>
      </c>
    </row>
    <row r="11" spans="1:16" x14ac:dyDescent="0.25">
      <c r="A11" s="14">
        <f t="shared" si="0"/>
        <v>1009</v>
      </c>
      <c r="B11" s="14">
        <v>1</v>
      </c>
      <c r="C11" s="14" t="s">
        <v>56</v>
      </c>
      <c r="D11" s="14">
        <v>9</v>
      </c>
      <c r="E11" s="57">
        <v>42</v>
      </c>
      <c r="P11" t="s">
        <v>61</v>
      </c>
    </row>
    <row r="12" spans="1:16" x14ac:dyDescent="0.25">
      <c r="A12" s="14">
        <f t="shared" si="0"/>
        <v>1010</v>
      </c>
      <c r="B12" s="14">
        <v>1</v>
      </c>
      <c r="C12" s="14" t="s">
        <v>56</v>
      </c>
      <c r="D12" s="14">
        <v>10</v>
      </c>
      <c r="E12" s="57">
        <v>66</v>
      </c>
      <c r="P12" t="s">
        <v>62</v>
      </c>
    </row>
    <row r="13" spans="1:16" x14ac:dyDescent="0.25">
      <c r="A13" s="11">
        <f t="shared" si="0"/>
        <v>1011</v>
      </c>
      <c r="B13" s="11">
        <v>2</v>
      </c>
      <c r="C13" s="11" t="s">
        <v>63</v>
      </c>
      <c r="D13" s="11">
        <f>D3</f>
        <v>1</v>
      </c>
      <c r="E13" s="58">
        <v>2</v>
      </c>
      <c r="P13" t="s">
        <v>64</v>
      </c>
    </row>
    <row r="14" spans="1:16" x14ac:dyDescent="0.25">
      <c r="A14" s="11">
        <f t="shared" si="0"/>
        <v>1012</v>
      </c>
      <c r="B14" s="11">
        <v>2</v>
      </c>
      <c r="C14" s="11" t="s">
        <v>63</v>
      </c>
      <c r="D14" s="11">
        <f t="shared" ref="D14:D77" si="1">D4</f>
        <v>2</v>
      </c>
      <c r="E14" s="58">
        <v>2</v>
      </c>
      <c r="P14" t="s">
        <v>65</v>
      </c>
    </row>
    <row r="15" spans="1:16" x14ac:dyDescent="0.25">
      <c r="A15" s="11">
        <f t="shared" si="0"/>
        <v>1013</v>
      </c>
      <c r="B15" s="11">
        <v>2</v>
      </c>
      <c r="C15" s="11" t="s">
        <v>63</v>
      </c>
      <c r="D15" s="11">
        <f t="shared" si="1"/>
        <v>3</v>
      </c>
      <c r="E15" s="58">
        <v>2</v>
      </c>
      <c r="P15" t="s">
        <v>66</v>
      </c>
    </row>
    <row r="16" spans="1:16" x14ac:dyDescent="0.25">
      <c r="A16" s="11">
        <f t="shared" si="0"/>
        <v>1014</v>
      </c>
      <c r="B16" s="11">
        <v>2</v>
      </c>
      <c r="C16" s="11" t="s">
        <v>63</v>
      </c>
      <c r="D16" s="11">
        <f t="shared" si="1"/>
        <v>4</v>
      </c>
      <c r="E16" s="58">
        <v>4</v>
      </c>
      <c r="P16" t="s">
        <v>67</v>
      </c>
    </row>
    <row r="17" spans="1:16" x14ac:dyDescent="0.25">
      <c r="A17" s="11">
        <f t="shared" si="0"/>
        <v>1015</v>
      </c>
      <c r="B17" s="11">
        <v>2</v>
      </c>
      <c r="C17" s="11" t="s">
        <v>63</v>
      </c>
      <c r="D17" s="11">
        <f t="shared" si="1"/>
        <v>5</v>
      </c>
      <c r="E17" s="58">
        <v>6</v>
      </c>
      <c r="P17" t="s">
        <v>68</v>
      </c>
    </row>
    <row r="18" spans="1:16" x14ac:dyDescent="0.25">
      <c r="A18" s="11">
        <f t="shared" si="0"/>
        <v>1016</v>
      </c>
      <c r="B18" s="11">
        <v>2</v>
      </c>
      <c r="C18" s="11" t="s">
        <v>63</v>
      </c>
      <c r="D18" s="11">
        <f t="shared" si="1"/>
        <v>6</v>
      </c>
      <c r="E18" s="58">
        <v>10</v>
      </c>
    </row>
    <row r="19" spans="1:16" x14ac:dyDescent="0.25">
      <c r="A19" s="11">
        <f t="shared" si="0"/>
        <v>1017</v>
      </c>
      <c r="B19" s="11">
        <v>2</v>
      </c>
      <c r="C19" s="11" t="s">
        <v>63</v>
      </c>
      <c r="D19" s="11">
        <f t="shared" si="1"/>
        <v>7</v>
      </c>
      <c r="E19" s="58">
        <v>16</v>
      </c>
    </row>
    <row r="20" spans="1:16" x14ac:dyDescent="0.25">
      <c r="A20" s="11">
        <f t="shared" si="0"/>
        <v>1018</v>
      </c>
      <c r="B20" s="11">
        <v>2</v>
      </c>
      <c r="C20" s="11" t="s">
        <v>63</v>
      </c>
      <c r="D20" s="11">
        <f t="shared" si="1"/>
        <v>8</v>
      </c>
      <c r="E20" s="58">
        <v>26</v>
      </c>
    </row>
    <row r="21" spans="1:16" x14ac:dyDescent="0.25">
      <c r="A21" s="11">
        <f t="shared" si="0"/>
        <v>1019</v>
      </c>
      <c r="B21" s="11">
        <v>2</v>
      </c>
      <c r="C21" s="11" t="s">
        <v>63</v>
      </c>
      <c r="D21" s="11">
        <f t="shared" si="1"/>
        <v>9</v>
      </c>
      <c r="E21" s="58">
        <v>42</v>
      </c>
    </row>
    <row r="22" spans="1:16" x14ac:dyDescent="0.25">
      <c r="A22" s="11">
        <f t="shared" si="0"/>
        <v>1020</v>
      </c>
      <c r="B22" s="11">
        <v>2</v>
      </c>
      <c r="C22" s="11" t="s">
        <v>63</v>
      </c>
      <c r="D22" s="11">
        <f t="shared" si="1"/>
        <v>10</v>
      </c>
      <c r="E22" s="58">
        <v>66</v>
      </c>
    </row>
    <row r="23" spans="1:16" x14ac:dyDescent="0.25">
      <c r="A23" s="42">
        <f t="shared" si="0"/>
        <v>1021</v>
      </c>
      <c r="B23" s="42">
        <v>3</v>
      </c>
      <c r="C23" s="42" t="s">
        <v>69</v>
      </c>
      <c r="D23" s="42">
        <f t="shared" si="1"/>
        <v>1</v>
      </c>
      <c r="E23" s="59">
        <v>1.2</v>
      </c>
    </row>
    <row r="24" spans="1:16" x14ac:dyDescent="0.25">
      <c r="A24" s="42">
        <f t="shared" si="0"/>
        <v>1022</v>
      </c>
      <c r="B24" s="42">
        <v>3</v>
      </c>
      <c r="C24" s="42" t="s">
        <v>69</v>
      </c>
      <c r="D24" s="42">
        <f t="shared" si="1"/>
        <v>2</v>
      </c>
      <c r="E24" s="59">
        <v>1.2</v>
      </c>
    </row>
    <row r="25" spans="1:16" x14ac:dyDescent="0.25">
      <c r="A25" s="42">
        <f t="shared" si="0"/>
        <v>1023</v>
      </c>
      <c r="B25" s="42">
        <v>3</v>
      </c>
      <c r="C25" s="42" t="s">
        <v>69</v>
      </c>
      <c r="D25" s="42">
        <f t="shared" si="1"/>
        <v>3</v>
      </c>
      <c r="E25" s="59">
        <v>1.4</v>
      </c>
    </row>
    <row r="26" spans="1:16" x14ac:dyDescent="0.25">
      <c r="A26" s="42">
        <f t="shared" si="0"/>
        <v>1024</v>
      </c>
      <c r="B26" s="42">
        <v>3</v>
      </c>
      <c r="C26" s="42" t="s">
        <v>69</v>
      </c>
      <c r="D26" s="42">
        <f t="shared" si="1"/>
        <v>4</v>
      </c>
      <c r="E26" s="59">
        <v>2.6</v>
      </c>
    </row>
    <row r="27" spans="1:16" x14ac:dyDescent="0.25">
      <c r="A27" s="42">
        <f t="shared" si="0"/>
        <v>1025</v>
      </c>
      <c r="B27" s="42">
        <v>3</v>
      </c>
      <c r="C27" s="42" t="s">
        <v>69</v>
      </c>
      <c r="D27" s="42">
        <f t="shared" si="1"/>
        <v>5</v>
      </c>
      <c r="E27" s="59">
        <v>4</v>
      </c>
    </row>
    <row r="28" spans="1:16" x14ac:dyDescent="0.25">
      <c r="A28" s="42">
        <f t="shared" si="0"/>
        <v>1026</v>
      </c>
      <c r="B28" s="42">
        <v>3</v>
      </c>
      <c r="C28" s="42" t="s">
        <v>69</v>
      </c>
      <c r="D28" s="42">
        <f t="shared" si="1"/>
        <v>6</v>
      </c>
      <c r="E28" s="59">
        <v>6.4</v>
      </c>
    </row>
    <row r="29" spans="1:16" x14ac:dyDescent="0.25">
      <c r="A29" s="42">
        <f t="shared" si="0"/>
        <v>1027</v>
      </c>
      <c r="B29" s="42">
        <v>3</v>
      </c>
      <c r="C29" s="42" t="s">
        <v>69</v>
      </c>
      <c r="D29" s="42">
        <f t="shared" si="1"/>
        <v>7</v>
      </c>
      <c r="E29" s="59">
        <v>10.4</v>
      </c>
    </row>
    <row r="30" spans="1:16" x14ac:dyDescent="0.25">
      <c r="A30" s="42">
        <f t="shared" si="0"/>
        <v>1028</v>
      </c>
      <c r="B30" s="42">
        <v>3</v>
      </c>
      <c r="C30" s="42" t="s">
        <v>69</v>
      </c>
      <c r="D30" s="42">
        <f t="shared" si="1"/>
        <v>8</v>
      </c>
      <c r="E30" s="59">
        <v>17</v>
      </c>
    </row>
    <row r="31" spans="1:16" x14ac:dyDescent="0.25">
      <c r="A31" s="42">
        <f t="shared" si="0"/>
        <v>1029</v>
      </c>
      <c r="B31" s="42">
        <v>3</v>
      </c>
      <c r="C31" s="42" t="s">
        <v>69</v>
      </c>
      <c r="D31" s="42">
        <f t="shared" si="1"/>
        <v>9</v>
      </c>
      <c r="E31" s="59">
        <v>27.2</v>
      </c>
    </row>
    <row r="32" spans="1:16" x14ac:dyDescent="0.25">
      <c r="A32" s="42">
        <f t="shared" si="0"/>
        <v>1030</v>
      </c>
      <c r="B32" s="42">
        <v>3</v>
      </c>
      <c r="C32" s="42" t="s">
        <v>69</v>
      </c>
      <c r="D32" s="42">
        <f t="shared" si="1"/>
        <v>10</v>
      </c>
      <c r="E32" s="59">
        <v>43</v>
      </c>
    </row>
    <row r="33" spans="1:5" x14ac:dyDescent="0.25">
      <c r="A33" s="30">
        <f t="shared" si="0"/>
        <v>1031</v>
      </c>
      <c r="B33" s="30">
        <v>4</v>
      </c>
      <c r="C33" s="30" t="s">
        <v>70</v>
      </c>
      <c r="D33" s="30">
        <f t="shared" si="1"/>
        <v>1</v>
      </c>
      <c r="E33" s="30">
        <v>1.2</v>
      </c>
    </row>
    <row r="34" spans="1:5" x14ac:dyDescent="0.25">
      <c r="A34" s="30">
        <f t="shared" si="0"/>
        <v>1032</v>
      </c>
      <c r="B34" s="30">
        <v>4</v>
      </c>
      <c r="C34" s="30" t="s">
        <v>70</v>
      </c>
      <c r="D34" s="30">
        <f t="shared" si="1"/>
        <v>2</v>
      </c>
      <c r="E34" s="30">
        <v>1.2</v>
      </c>
    </row>
    <row r="35" spans="1:5" x14ac:dyDescent="0.25">
      <c r="A35" s="30">
        <f t="shared" si="0"/>
        <v>1033</v>
      </c>
      <c r="B35" s="30">
        <v>4</v>
      </c>
      <c r="C35" s="30" t="s">
        <v>70</v>
      </c>
      <c r="D35" s="30">
        <f t="shared" si="1"/>
        <v>3</v>
      </c>
      <c r="E35" s="30">
        <v>1.4</v>
      </c>
    </row>
    <row r="36" spans="1:5" x14ac:dyDescent="0.25">
      <c r="A36" s="30">
        <f t="shared" si="0"/>
        <v>1034</v>
      </c>
      <c r="B36" s="30">
        <v>4</v>
      </c>
      <c r="C36" s="30" t="s">
        <v>70</v>
      </c>
      <c r="D36" s="30">
        <f t="shared" si="1"/>
        <v>4</v>
      </c>
      <c r="E36" s="30">
        <v>2.6</v>
      </c>
    </row>
    <row r="37" spans="1:5" x14ac:dyDescent="0.25">
      <c r="A37" s="30">
        <f t="shared" si="0"/>
        <v>1035</v>
      </c>
      <c r="B37" s="30">
        <v>4</v>
      </c>
      <c r="C37" s="30" t="s">
        <v>70</v>
      </c>
      <c r="D37" s="30">
        <f t="shared" si="1"/>
        <v>5</v>
      </c>
      <c r="E37" s="30">
        <v>4</v>
      </c>
    </row>
    <row r="38" spans="1:5" x14ac:dyDescent="0.25">
      <c r="A38" s="30">
        <f t="shared" si="0"/>
        <v>1036</v>
      </c>
      <c r="B38" s="30">
        <v>4</v>
      </c>
      <c r="C38" s="30" t="s">
        <v>70</v>
      </c>
      <c r="D38" s="30">
        <f t="shared" si="1"/>
        <v>6</v>
      </c>
      <c r="E38" s="30">
        <v>6.4</v>
      </c>
    </row>
    <row r="39" spans="1:5" x14ac:dyDescent="0.25">
      <c r="A39" s="30">
        <f t="shared" si="0"/>
        <v>1037</v>
      </c>
      <c r="B39" s="30">
        <v>4</v>
      </c>
      <c r="C39" s="30" t="s">
        <v>70</v>
      </c>
      <c r="D39" s="30">
        <f t="shared" si="1"/>
        <v>7</v>
      </c>
      <c r="E39" s="30">
        <v>10.4</v>
      </c>
    </row>
    <row r="40" spans="1:5" x14ac:dyDescent="0.25">
      <c r="A40" s="30">
        <f t="shared" si="0"/>
        <v>1038</v>
      </c>
      <c r="B40" s="30">
        <v>4</v>
      </c>
      <c r="C40" s="30" t="s">
        <v>70</v>
      </c>
      <c r="D40" s="30">
        <f t="shared" si="1"/>
        <v>8</v>
      </c>
      <c r="E40" s="30">
        <v>17</v>
      </c>
    </row>
    <row r="41" spans="1:5" x14ac:dyDescent="0.25">
      <c r="A41" s="30">
        <f t="shared" si="0"/>
        <v>1039</v>
      </c>
      <c r="B41" s="30">
        <v>4</v>
      </c>
      <c r="C41" s="30" t="s">
        <v>70</v>
      </c>
      <c r="D41" s="30">
        <f t="shared" si="1"/>
        <v>9</v>
      </c>
      <c r="E41" s="30">
        <v>27.2</v>
      </c>
    </row>
    <row r="42" spans="1:5" x14ac:dyDescent="0.25">
      <c r="A42" s="30">
        <f t="shared" si="0"/>
        <v>1040</v>
      </c>
      <c r="B42" s="30">
        <v>4</v>
      </c>
      <c r="C42" s="30" t="s">
        <v>70</v>
      </c>
      <c r="D42" s="30">
        <f t="shared" si="1"/>
        <v>10</v>
      </c>
      <c r="E42" s="30">
        <v>43</v>
      </c>
    </row>
    <row r="43" spans="1:5" x14ac:dyDescent="0.25">
      <c r="A43" s="11">
        <f t="shared" si="0"/>
        <v>1041</v>
      </c>
      <c r="B43" s="11">
        <v>5</v>
      </c>
      <c r="C43" s="11" t="s">
        <v>71</v>
      </c>
      <c r="D43" s="11">
        <f t="shared" si="1"/>
        <v>1</v>
      </c>
      <c r="E43" s="58">
        <v>40</v>
      </c>
    </row>
    <row r="44" spans="1:5" x14ac:dyDescent="0.25">
      <c r="A44" s="11">
        <f t="shared" si="0"/>
        <v>1042</v>
      </c>
      <c r="B44" s="11">
        <v>5</v>
      </c>
      <c r="C44" s="11" t="s">
        <v>71</v>
      </c>
      <c r="D44" s="11">
        <f t="shared" si="1"/>
        <v>2</v>
      </c>
      <c r="E44" s="58">
        <v>60</v>
      </c>
    </row>
    <row r="45" spans="1:5" x14ac:dyDescent="0.25">
      <c r="A45" s="11">
        <f t="shared" si="0"/>
        <v>1043</v>
      </c>
      <c r="B45" s="11">
        <v>5</v>
      </c>
      <c r="C45" s="11" t="s">
        <v>71</v>
      </c>
      <c r="D45" s="11">
        <f t="shared" si="1"/>
        <v>3</v>
      </c>
      <c r="E45" s="58">
        <v>60</v>
      </c>
    </row>
    <row r="46" spans="1:5" x14ac:dyDescent="0.25">
      <c r="A46" s="11">
        <f t="shared" si="0"/>
        <v>1044</v>
      </c>
      <c r="B46" s="11">
        <v>5</v>
      </c>
      <c r="C46" s="11" t="s">
        <v>71</v>
      </c>
      <c r="D46" s="11">
        <f t="shared" si="1"/>
        <v>4</v>
      </c>
      <c r="E46" s="58">
        <v>120</v>
      </c>
    </row>
    <row r="47" spans="1:5" x14ac:dyDescent="0.25">
      <c r="A47" s="11">
        <f t="shared" si="0"/>
        <v>1045</v>
      </c>
      <c r="B47" s="11">
        <v>5</v>
      </c>
      <c r="C47" s="11" t="s">
        <v>71</v>
      </c>
      <c r="D47" s="11">
        <f t="shared" si="1"/>
        <v>5</v>
      </c>
      <c r="E47" s="58">
        <v>180</v>
      </c>
    </row>
    <row r="48" spans="1:5" x14ac:dyDescent="0.25">
      <c r="A48" s="11">
        <f t="shared" si="0"/>
        <v>1046</v>
      </c>
      <c r="B48" s="11">
        <v>5</v>
      </c>
      <c r="C48" s="11" t="s">
        <v>71</v>
      </c>
      <c r="D48" s="11">
        <f t="shared" si="1"/>
        <v>6</v>
      </c>
      <c r="E48" s="58">
        <v>300</v>
      </c>
    </row>
    <row r="49" spans="1:8" x14ac:dyDescent="0.25">
      <c r="A49" s="11">
        <f t="shared" si="0"/>
        <v>1047</v>
      </c>
      <c r="B49" s="11">
        <v>5</v>
      </c>
      <c r="C49" s="11" t="s">
        <v>71</v>
      </c>
      <c r="D49" s="11">
        <f t="shared" si="1"/>
        <v>7</v>
      </c>
      <c r="E49" s="58">
        <v>480</v>
      </c>
    </row>
    <row r="50" spans="1:8" x14ac:dyDescent="0.25">
      <c r="A50" s="11">
        <f t="shared" si="0"/>
        <v>1048</v>
      </c>
      <c r="B50" s="11">
        <v>5</v>
      </c>
      <c r="C50" s="11" t="s">
        <v>71</v>
      </c>
      <c r="D50" s="11">
        <f t="shared" si="1"/>
        <v>8</v>
      </c>
      <c r="E50" s="58">
        <v>780</v>
      </c>
    </row>
    <row r="51" spans="1:8" x14ac:dyDescent="0.25">
      <c r="A51" s="11">
        <f t="shared" si="0"/>
        <v>1049</v>
      </c>
      <c r="B51" s="11">
        <v>5</v>
      </c>
      <c r="C51" s="11" t="s">
        <v>71</v>
      </c>
      <c r="D51" s="11">
        <f t="shared" si="1"/>
        <v>9</v>
      </c>
      <c r="E51" s="58">
        <v>1260</v>
      </c>
    </row>
    <row r="52" spans="1:8" x14ac:dyDescent="0.25">
      <c r="A52" s="11">
        <f t="shared" si="0"/>
        <v>1050</v>
      </c>
      <c r="B52" s="11">
        <v>5</v>
      </c>
      <c r="C52" s="11" t="s">
        <v>71</v>
      </c>
      <c r="D52" s="11">
        <f t="shared" si="1"/>
        <v>10</v>
      </c>
      <c r="E52" s="58">
        <v>2000</v>
      </c>
    </row>
    <row r="53" spans="1:8" x14ac:dyDescent="0.25">
      <c r="A53" s="42">
        <f t="shared" si="0"/>
        <v>1051</v>
      </c>
      <c r="B53" s="42">
        <v>6</v>
      </c>
      <c r="C53" s="42" t="s">
        <v>72</v>
      </c>
      <c r="D53" s="42">
        <f t="shared" si="1"/>
        <v>1</v>
      </c>
      <c r="E53" s="42">
        <v>210</v>
      </c>
    </row>
    <row r="54" spans="1:8" x14ac:dyDescent="0.25">
      <c r="A54" s="42">
        <f t="shared" si="0"/>
        <v>1052</v>
      </c>
      <c r="B54" s="42">
        <v>6</v>
      </c>
      <c r="C54" s="42" t="s">
        <v>72</v>
      </c>
      <c r="D54" s="42">
        <f t="shared" si="1"/>
        <v>2</v>
      </c>
      <c r="E54" s="42">
        <v>220</v>
      </c>
    </row>
    <row r="55" spans="1:8" x14ac:dyDescent="0.25">
      <c r="A55" s="42">
        <f t="shared" si="0"/>
        <v>1053</v>
      </c>
      <c r="B55" s="42">
        <v>6</v>
      </c>
      <c r="C55" s="42" t="s">
        <v>72</v>
      </c>
      <c r="D55" s="42">
        <f t="shared" si="1"/>
        <v>3</v>
      </c>
      <c r="E55" s="42">
        <v>230</v>
      </c>
    </row>
    <row r="56" spans="1:8" x14ac:dyDescent="0.25">
      <c r="A56" s="42">
        <f t="shared" si="0"/>
        <v>1054</v>
      </c>
      <c r="B56" s="42">
        <v>6</v>
      </c>
      <c r="C56" s="42" t="s">
        <v>72</v>
      </c>
      <c r="D56" s="42">
        <f t="shared" si="1"/>
        <v>4</v>
      </c>
      <c r="E56" s="42">
        <v>240</v>
      </c>
    </row>
    <row r="57" spans="1:8" x14ac:dyDescent="0.25">
      <c r="A57" s="42">
        <f t="shared" si="0"/>
        <v>1055</v>
      </c>
      <c r="B57" s="42">
        <v>6</v>
      </c>
      <c r="C57" s="42" t="s">
        <v>72</v>
      </c>
      <c r="D57" s="42">
        <f t="shared" si="1"/>
        <v>5</v>
      </c>
      <c r="E57" s="42">
        <v>250</v>
      </c>
    </row>
    <row r="58" spans="1:8" x14ac:dyDescent="0.25">
      <c r="A58" s="42">
        <f t="shared" si="0"/>
        <v>1056</v>
      </c>
      <c r="B58" s="42">
        <v>6</v>
      </c>
      <c r="C58" s="42" t="s">
        <v>72</v>
      </c>
      <c r="D58" s="42">
        <f t="shared" si="1"/>
        <v>6</v>
      </c>
      <c r="E58" s="42">
        <v>260</v>
      </c>
    </row>
    <row r="59" spans="1:8" x14ac:dyDescent="0.25">
      <c r="A59" s="42">
        <f t="shared" si="0"/>
        <v>1057</v>
      </c>
      <c r="B59" s="42">
        <v>6</v>
      </c>
      <c r="C59" s="42" t="s">
        <v>72</v>
      </c>
      <c r="D59" s="42">
        <f t="shared" si="1"/>
        <v>7</v>
      </c>
      <c r="E59" s="42">
        <v>270</v>
      </c>
    </row>
    <row r="60" spans="1:8" x14ac:dyDescent="0.25">
      <c r="A60" s="42">
        <f t="shared" si="0"/>
        <v>1058</v>
      </c>
      <c r="B60" s="42">
        <v>6</v>
      </c>
      <c r="C60" s="42" t="s">
        <v>72</v>
      </c>
      <c r="D60" s="42">
        <f t="shared" si="1"/>
        <v>8</v>
      </c>
      <c r="E60" s="42">
        <v>280</v>
      </c>
    </row>
    <row r="61" spans="1:8" x14ac:dyDescent="0.25">
      <c r="A61" s="42">
        <f t="shared" si="0"/>
        <v>1059</v>
      </c>
      <c r="B61" s="42">
        <v>6</v>
      </c>
      <c r="C61" s="42" t="s">
        <v>72</v>
      </c>
      <c r="D61" s="42">
        <f t="shared" si="1"/>
        <v>9</v>
      </c>
      <c r="E61" s="42">
        <v>290</v>
      </c>
    </row>
    <row r="62" spans="1:8" x14ac:dyDescent="0.25">
      <c r="A62" s="42">
        <f t="shared" si="0"/>
        <v>1060</v>
      </c>
      <c r="B62" s="42">
        <v>6</v>
      </c>
      <c r="C62" s="42" t="s">
        <v>72</v>
      </c>
      <c r="D62" s="42">
        <f t="shared" si="1"/>
        <v>10</v>
      </c>
      <c r="E62" s="42">
        <v>300</v>
      </c>
    </row>
    <row r="63" spans="1:8" x14ac:dyDescent="0.25">
      <c r="A63" s="30">
        <f t="shared" si="0"/>
        <v>1061</v>
      </c>
      <c r="B63" s="30">
        <v>7</v>
      </c>
      <c r="C63" s="30" t="s">
        <v>73</v>
      </c>
      <c r="D63" s="30">
        <f t="shared" si="1"/>
        <v>1</v>
      </c>
      <c r="E63" s="42">
        <v>210</v>
      </c>
      <c r="F63">
        <v>5</v>
      </c>
      <c r="G63">
        <f>E63/1000</f>
        <v>0.21</v>
      </c>
      <c r="H63">
        <f>F63*G63</f>
        <v>1.05</v>
      </c>
    </row>
    <row r="64" spans="1:8" x14ac:dyDescent="0.25">
      <c r="A64" s="30">
        <f t="shared" si="0"/>
        <v>1062</v>
      </c>
      <c r="B64" s="30">
        <v>7</v>
      </c>
      <c r="C64" s="30" t="s">
        <v>73</v>
      </c>
      <c r="D64" s="30">
        <f t="shared" si="1"/>
        <v>2</v>
      </c>
      <c r="E64" s="42">
        <v>220</v>
      </c>
      <c r="F64">
        <v>10</v>
      </c>
      <c r="G64">
        <f t="shared" ref="G64:G72" si="2">E64/1000</f>
        <v>0.22</v>
      </c>
      <c r="H64">
        <f t="shared" ref="H64:H72" si="3">F64*G64</f>
        <v>2.2000000000000002</v>
      </c>
    </row>
    <row r="65" spans="1:8" x14ac:dyDescent="0.25">
      <c r="A65" s="30">
        <f t="shared" si="0"/>
        <v>1063</v>
      </c>
      <c r="B65" s="30">
        <v>7</v>
      </c>
      <c r="C65" s="30" t="s">
        <v>73</v>
      </c>
      <c r="D65" s="30">
        <f t="shared" si="1"/>
        <v>3</v>
      </c>
      <c r="E65" s="42">
        <v>230</v>
      </c>
      <c r="F65">
        <v>15</v>
      </c>
      <c r="G65">
        <f t="shared" si="2"/>
        <v>0.23</v>
      </c>
      <c r="H65">
        <f t="shared" si="3"/>
        <v>3.45</v>
      </c>
    </row>
    <row r="66" spans="1:8" x14ac:dyDescent="0.25">
      <c r="A66" s="30">
        <f t="shared" si="0"/>
        <v>1064</v>
      </c>
      <c r="B66" s="30">
        <v>7</v>
      </c>
      <c r="C66" s="30" t="s">
        <v>73</v>
      </c>
      <c r="D66" s="30">
        <f t="shared" si="1"/>
        <v>4</v>
      </c>
      <c r="E66" s="42">
        <v>240</v>
      </c>
      <c r="F66">
        <v>20</v>
      </c>
      <c r="G66">
        <f t="shared" si="2"/>
        <v>0.24</v>
      </c>
      <c r="H66">
        <f t="shared" si="3"/>
        <v>4.8</v>
      </c>
    </row>
    <row r="67" spans="1:8" x14ac:dyDescent="0.25">
      <c r="A67" s="30">
        <f t="shared" si="0"/>
        <v>1065</v>
      </c>
      <c r="B67" s="30">
        <v>7</v>
      </c>
      <c r="C67" s="30" t="s">
        <v>73</v>
      </c>
      <c r="D67" s="30">
        <f t="shared" si="1"/>
        <v>5</v>
      </c>
      <c r="E67" s="42">
        <v>250</v>
      </c>
      <c r="F67">
        <v>25</v>
      </c>
      <c r="G67">
        <f t="shared" si="2"/>
        <v>0.25</v>
      </c>
      <c r="H67">
        <f t="shared" si="3"/>
        <v>6.25</v>
      </c>
    </row>
    <row r="68" spans="1:8" x14ac:dyDescent="0.25">
      <c r="A68" s="30">
        <f t="shared" si="0"/>
        <v>1066</v>
      </c>
      <c r="B68" s="30">
        <v>7</v>
      </c>
      <c r="C68" s="30" t="s">
        <v>73</v>
      </c>
      <c r="D68" s="30">
        <f t="shared" si="1"/>
        <v>6</v>
      </c>
      <c r="E68" s="42">
        <v>260</v>
      </c>
      <c r="F68">
        <v>30</v>
      </c>
      <c r="G68">
        <f t="shared" si="2"/>
        <v>0.26</v>
      </c>
      <c r="H68">
        <f t="shared" si="3"/>
        <v>7.8000000000000007</v>
      </c>
    </row>
    <row r="69" spans="1:8" x14ac:dyDescent="0.25">
      <c r="A69" s="30">
        <f t="shared" ref="A69:A112" si="4">A68+1</f>
        <v>1067</v>
      </c>
      <c r="B69" s="30">
        <v>7</v>
      </c>
      <c r="C69" s="30" t="s">
        <v>73</v>
      </c>
      <c r="D69" s="30">
        <f t="shared" si="1"/>
        <v>7</v>
      </c>
      <c r="E69" s="42">
        <v>270</v>
      </c>
      <c r="F69">
        <v>35</v>
      </c>
      <c r="G69">
        <f t="shared" si="2"/>
        <v>0.27</v>
      </c>
      <c r="H69">
        <f t="shared" si="3"/>
        <v>9.4500000000000011</v>
      </c>
    </row>
    <row r="70" spans="1:8" x14ac:dyDescent="0.25">
      <c r="A70" s="30">
        <f t="shared" si="4"/>
        <v>1068</v>
      </c>
      <c r="B70" s="30">
        <v>7</v>
      </c>
      <c r="C70" s="30" t="s">
        <v>73</v>
      </c>
      <c r="D70" s="30">
        <f t="shared" si="1"/>
        <v>8</v>
      </c>
      <c r="E70" s="42">
        <v>280</v>
      </c>
      <c r="F70">
        <v>40</v>
      </c>
      <c r="G70">
        <f t="shared" si="2"/>
        <v>0.28000000000000003</v>
      </c>
      <c r="H70">
        <f t="shared" si="3"/>
        <v>11.200000000000001</v>
      </c>
    </row>
    <row r="71" spans="1:8" x14ac:dyDescent="0.25">
      <c r="A71" s="30">
        <f t="shared" si="4"/>
        <v>1069</v>
      </c>
      <c r="B71" s="30">
        <v>7</v>
      </c>
      <c r="C71" s="30" t="s">
        <v>73</v>
      </c>
      <c r="D71" s="30">
        <f t="shared" si="1"/>
        <v>9</v>
      </c>
      <c r="E71" s="42">
        <v>290</v>
      </c>
      <c r="F71">
        <v>45</v>
      </c>
      <c r="G71">
        <f t="shared" si="2"/>
        <v>0.28999999999999998</v>
      </c>
      <c r="H71">
        <f t="shared" si="3"/>
        <v>13.049999999999999</v>
      </c>
    </row>
    <row r="72" spans="1:8" x14ac:dyDescent="0.25">
      <c r="A72" s="30">
        <f t="shared" si="4"/>
        <v>1070</v>
      </c>
      <c r="B72" s="30">
        <v>7</v>
      </c>
      <c r="C72" s="30" t="s">
        <v>73</v>
      </c>
      <c r="D72" s="30">
        <f t="shared" si="1"/>
        <v>10</v>
      </c>
      <c r="E72" s="42">
        <v>300</v>
      </c>
      <c r="F72">
        <v>50</v>
      </c>
      <c r="G72">
        <f t="shared" si="2"/>
        <v>0.3</v>
      </c>
      <c r="H72">
        <f t="shared" si="3"/>
        <v>15</v>
      </c>
    </row>
    <row r="73" spans="1:8" x14ac:dyDescent="0.25">
      <c r="A73" s="60">
        <f t="shared" si="4"/>
        <v>1071</v>
      </c>
      <c r="B73" s="60">
        <v>8</v>
      </c>
      <c r="C73" s="60" t="s">
        <v>74</v>
      </c>
      <c r="D73" s="60">
        <f t="shared" si="1"/>
        <v>1</v>
      </c>
      <c r="E73" s="42">
        <v>400</v>
      </c>
      <c r="F73">
        <v>5</v>
      </c>
      <c r="G73">
        <f>E73/1000</f>
        <v>0.4</v>
      </c>
      <c r="H73">
        <f>F73*G73</f>
        <v>2</v>
      </c>
    </row>
    <row r="74" spans="1:8" x14ac:dyDescent="0.25">
      <c r="A74" s="60">
        <f t="shared" si="4"/>
        <v>1072</v>
      </c>
      <c r="B74" s="60">
        <v>8</v>
      </c>
      <c r="C74" s="60" t="s">
        <v>74</v>
      </c>
      <c r="D74" s="60">
        <f t="shared" si="1"/>
        <v>2</v>
      </c>
      <c r="E74" s="42">
        <v>410</v>
      </c>
      <c r="F74">
        <v>10</v>
      </c>
      <c r="G74">
        <f t="shared" ref="G74:G82" si="5">E74/1000</f>
        <v>0.41</v>
      </c>
      <c r="H74">
        <f t="shared" ref="H74:H82" si="6">F74*G74</f>
        <v>4.0999999999999996</v>
      </c>
    </row>
    <row r="75" spans="1:8" x14ac:dyDescent="0.25">
      <c r="A75" s="60">
        <f t="shared" si="4"/>
        <v>1073</v>
      </c>
      <c r="B75" s="60">
        <v>8</v>
      </c>
      <c r="C75" s="60" t="s">
        <v>74</v>
      </c>
      <c r="D75" s="60">
        <f t="shared" si="1"/>
        <v>3</v>
      </c>
      <c r="E75" s="42">
        <v>420</v>
      </c>
      <c r="F75">
        <v>15</v>
      </c>
      <c r="G75">
        <f t="shared" si="5"/>
        <v>0.42</v>
      </c>
      <c r="H75">
        <f t="shared" si="6"/>
        <v>6.3</v>
      </c>
    </row>
    <row r="76" spans="1:8" x14ac:dyDescent="0.25">
      <c r="A76" s="60">
        <f t="shared" si="4"/>
        <v>1074</v>
      </c>
      <c r="B76" s="60">
        <v>8</v>
      </c>
      <c r="C76" s="60" t="s">
        <v>74</v>
      </c>
      <c r="D76" s="60">
        <f t="shared" si="1"/>
        <v>4</v>
      </c>
      <c r="E76" s="42">
        <v>430</v>
      </c>
      <c r="F76">
        <v>20</v>
      </c>
      <c r="G76">
        <f t="shared" si="5"/>
        <v>0.43</v>
      </c>
      <c r="H76">
        <f t="shared" si="6"/>
        <v>8.6</v>
      </c>
    </row>
    <row r="77" spans="1:8" x14ac:dyDescent="0.25">
      <c r="A77" s="60">
        <f t="shared" si="4"/>
        <v>1075</v>
      </c>
      <c r="B77" s="60">
        <v>8</v>
      </c>
      <c r="C77" s="60" t="s">
        <v>74</v>
      </c>
      <c r="D77" s="60">
        <f t="shared" si="1"/>
        <v>5</v>
      </c>
      <c r="E77" s="42">
        <v>440</v>
      </c>
      <c r="F77">
        <v>25</v>
      </c>
      <c r="G77">
        <f t="shared" si="5"/>
        <v>0.44</v>
      </c>
      <c r="H77">
        <f t="shared" si="6"/>
        <v>11</v>
      </c>
    </row>
    <row r="78" spans="1:8" x14ac:dyDescent="0.25">
      <c r="A78" s="60">
        <f t="shared" si="4"/>
        <v>1076</v>
      </c>
      <c r="B78" s="60">
        <v>8</v>
      </c>
      <c r="C78" s="60" t="s">
        <v>74</v>
      </c>
      <c r="D78" s="60">
        <f t="shared" ref="D78:D112" si="7">D68</f>
        <v>6</v>
      </c>
      <c r="E78" s="42">
        <v>450</v>
      </c>
      <c r="F78">
        <v>30</v>
      </c>
      <c r="G78">
        <f t="shared" si="5"/>
        <v>0.45</v>
      </c>
      <c r="H78">
        <f t="shared" si="6"/>
        <v>13.5</v>
      </c>
    </row>
    <row r="79" spans="1:8" x14ac:dyDescent="0.25">
      <c r="A79" s="60">
        <f t="shared" si="4"/>
        <v>1077</v>
      </c>
      <c r="B79" s="60">
        <v>8</v>
      </c>
      <c r="C79" s="60" t="s">
        <v>74</v>
      </c>
      <c r="D79" s="60">
        <f t="shared" si="7"/>
        <v>7</v>
      </c>
      <c r="E79" s="42">
        <v>460</v>
      </c>
      <c r="F79">
        <v>35</v>
      </c>
      <c r="G79">
        <f t="shared" si="5"/>
        <v>0.46</v>
      </c>
      <c r="H79">
        <f t="shared" si="6"/>
        <v>16.100000000000001</v>
      </c>
    </row>
    <row r="80" spans="1:8" x14ac:dyDescent="0.25">
      <c r="A80" s="60">
        <f t="shared" si="4"/>
        <v>1078</v>
      </c>
      <c r="B80" s="60">
        <v>8</v>
      </c>
      <c r="C80" s="60" t="s">
        <v>74</v>
      </c>
      <c r="D80" s="60">
        <f t="shared" si="7"/>
        <v>8</v>
      </c>
      <c r="E80" s="42">
        <v>470</v>
      </c>
      <c r="F80">
        <v>40</v>
      </c>
      <c r="G80">
        <f t="shared" si="5"/>
        <v>0.47</v>
      </c>
      <c r="H80">
        <f t="shared" si="6"/>
        <v>18.799999999999997</v>
      </c>
    </row>
    <row r="81" spans="1:8" x14ac:dyDescent="0.25">
      <c r="A81" s="60">
        <f t="shared" si="4"/>
        <v>1079</v>
      </c>
      <c r="B81" s="60">
        <v>8</v>
      </c>
      <c r="C81" s="60" t="s">
        <v>74</v>
      </c>
      <c r="D81" s="60">
        <f t="shared" si="7"/>
        <v>9</v>
      </c>
      <c r="E81" s="42">
        <v>480</v>
      </c>
      <c r="F81">
        <v>45</v>
      </c>
      <c r="G81">
        <f t="shared" si="5"/>
        <v>0.48</v>
      </c>
      <c r="H81">
        <f t="shared" si="6"/>
        <v>21.599999999999998</v>
      </c>
    </row>
    <row r="82" spans="1:8" x14ac:dyDescent="0.25">
      <c r="A82" s="60">
        <f t="shared" si="4"/>
        <v>1080</v>
      </c>
      <c r="B82" s="60">
        <v>8</v>
      </c>
      <c r="C82" s="60" t="s">
        <v>74</v>
      </c>
      <c r="D82" s="60">
        <f t="shared" si="7"/>
        <v>10</v>
      </c>
      <c r="E82" s="42">
        <v>490</v>
      </c>
      <c r="F82">
        <v>50</v>
      </c>
      <c r="G82">
        <f t="shared" si="5"/>
        <v>0.49</v>
      </c>
      <c r="H82">
        <f t="shared" si="6"/>
        <v>24.5</v>
      </c>
    </row>
    <row r="83" spans="1:8" x14ac:dyDescent="0.25">
      <c r="A83" s="61">
        <f t="shared" si="4"/>
        <v>1081</v>
      </c>
      <c r="B83" s="61">
        <v>9</v>
      </c>
      <c r="C83" s="61" t="s">
        <v>75</v>
      </c>
      <c r="D83" s="61">
        <f t="shared" si="7"/>
        <v>1</v>
      </c>
      <c r="E83" s="42">
        <v>400</v>
      </c>
    </row>
    <row r="84" spans="1:8" x14ac:dyDescent="0.25">
      <c r="A84" s="61">
        <f t="shared" si="4"/>
        <v>1082</v>
      </c>
      <c r="B84" s="61">
        <v>9</v>
      </c>
      <c r="C84" s="61" t="s">
        <v>75</v>
      </c>
      <c r="D84" s="61">
        <f t="shared" si="7"/>
        <v>2</v>
      </c>
      <c r="E84" s="42">
        <v>410</v>
      </c>
    </row>
    <row r="85" spans="1:8" x14ac:dyDescent="0.25">
      <c r="A85" s="61">
        <f t="shared" si="4"/>
        <v>1083</v>
      </c>
      <c r="B85" s="61">
        <v>9</v>
      </c>
      <c r="C85" s="61" t="s">
        <v>75</v>
      </c>
      <c r="D85" s="61">
        <f t="shared" si="7"/>
        <v>3</v>
      </c>
      <c r="E85" s="42">
        <v>420</v>
      </c>
    </row>
    <row r="86" spans="1:8" x14ac:dyDescent="0.25">
      <c r="A86" s="61">
        <f t="shared" si="4"/>
        <v>1084</v>
      </c>
      <c r="B86" s="61">
        <v>9</v>
      </c>
      <c r="C86" s="61" t="s">
        <v>75</v>
      </c>
      <c r="D86" s="61">
        <f t="shared" si="7"/>
        <v>4</v>
      </c>
      <c r="E86" s="42">
        <v>430</v>
      </c>
    </row>
    <row r="87" spans="1:8" x14ac:dyDescent="0.25">
      <c r="A87" s="61">
        <f t="shared" si="4"/>
        <v>1085</v>
      </c>
      <c r="B87" s="61">
        <v>9</v>
      </c>
      <c r="C87" s="61" t="s">
        <v>75</v>
      </c>
      <c r="D87" s="61">
        <f t="shared" si="7"/>
        <v>5</v>
      </c>
      <c r="E87" s="42">
        <v>440</v>
      </c>
    </row>
    <row r="88" spans="1:8" x14ac:dyDescent="0.25">
      <c r="A88" s="61">
        <f t="shared" si="4"/>
        <v>1086</v>
      </c>
      <c r="B88" s="61">
        <v>9</v>
      </c>
      <c r="C88" s="61" t="s">
        <v>75</v>
      </c>
      <c r="D88" s="61">
        <f t="shared" si="7"/>
        <v>6</v>
      </c>
      <c r="E88" s="42">
        <v>450</v>
      </c>
    </row>
    <row r="89" spans="1:8" x14ac:dyDescent="0.25">
      <c r="A89" s="61">
        <f t="shared" si="4"/>
        <v>1087</v>
      </c>
      <c r="B89" s="61">
        <v>9</v>
      </c>
      <c r="C89" s="61" t="s">
        <v>75</v>
      </c>
      <c r="D89" s="61">
        <f t="shared" si="7"/>
        <v>7</v>
      </c>
      <c r="E89" s="42">
        <v>460</v>
      </c>
    </row>
    <row r="90" spans="1:8" x14ac:dyDescent="0.25">
      <c r="A90" s="61">
        <f t="shared" si="4"/>
        <v>1088</v>
      </c>
      <c r="B90" s="61">
        <v>9</v>
      </c>
      <c r="C90" s="61" t="s">
        <v>75</v>
      </c>
      <c r="D90" s="61">
        <f t="shared" si="7"/>
        <v>8</v>
      </c>
      <c r="E90" s="42">
        <v>470</v>
      </c>
    </row>
    <row r="91" spans="1:8" x14ac:dyDescent="0.25">
      <c r="A91" s="61">
        <f t="shared" si="4"/>
        <v>1089</v>
      </c>
      <c r="B91" s="61">
        <v>9</v>
      </c>
      <c r="C91" s="61" t="s">
        <v>75</v>
      </c>
      <c r="D91" s="61">
        <f t="shared" si="7"/>
        <v>9</v>
      </c>
      <c r="E91" s="42">
        <v>480</v>
      </c>
    </row>
    <row r="92" spans="1:8" x14ac:dyDescent="0.25">
      <c r="A92" s="61">
        <f t="shared" si="4"/>
        <v>1090</v>
      </c>
      <c r="B92" s="61">
        <v>9</v>
      </c>
      <c r="C92" s="61" t="s">
        <v>75</v>
      </c>
      <c r="D92" s="61">
        <f t="shared" si="7"/>
        <v>10</v>
      </c>
      <c r="E92" s="42">
        <v>490</v>
      </c>
    </row>
    <row r="93" spans="1:8" x14ac:dyDescent="0.25">
      <c r="A93" s="62">
        <f t="shared" si="4"/>
        <v>1091</v>
      </c>
      <c r="B93" s="62">
        <v>10</v>
      </c>
      <c r="C93" s="62" t="s">
        <v>76</v>
      </c>
      <c r="D93" s="62">
        <f t="shared" si="7"/>
        <v>1</v>
      </c>
      <c r="E93" s="62">
        <v>1</v>
      </c>
    </row>
    <row r="94" spans="1:8" x14ac:dyDescent="0.25">
      <c r="A94" s="62">
        <f t="shared" si="4"/>
        <v>1092</v>
      </c>
      <c r="B94" s="62">
        <v>10</v>
      </c>
      <c r="C94" s="62" t="s">
        <v>76</v>
      </c>
      <c r="D94" s="62">
        <f t="shared" si="7"/>
        <v>2</v>
      </c>
      <c r="E94" s="62">
        <v>1</v>
      </c>
    </row>
    <row r="95" spans="1:8" x14ac:dyDescent="0.25">
      <c r="A95" s="62">
        <f t="shared" si="4"/>
        <v>1093</v>
      </c>
      <c r="B95" s="62">
        <v>10</v>
      </c>
      <c r="C95" s="62" t="s">
        <v>76</v>
      </c>
      <c r="D95" s="62">
        <f t="shared" si="7"/>
        <v>3</v>
      </c>
      <c r="E95" s="62">
        <v>1</v>
      </c>
    </row>
    <row r="96" spans="1:8" x14ac:dyDescent="0.25">
      <c r="A96" s="62">
        <f t="shared" si="4"/>
        <v>1094</v>
      </c>
      <c r="B96" s="62">
        <v>10</v>
      </c>
      <c r="C96" s="62" t="s">
        <v>76</v>
      </c>
      <c r="D96" s="62">
        <f t="shared" si="7"/>
        <v>4</v>
      </c>
      <c r="E96" s="62">
        <v>1</v>
      </c>
    </row>
    <row r="97" spans="1:5" x14ac:dyDescent="0.25">
      <c r="A97" s="62">
        <f t="shared" si="4"/>
        <v>1095</v>
      </c>
      <c r="B97" s="62">
        <v>10</v>
      </c>
      <c r="C97" s="62" t="s">
        <v>76</v>
      </c>
      <c r="D97" s="62">
        <f t="shared" si="7"/>
        <v>5</v>
      </c>
      <c r="E97" s="62">
        <v>1</v>
      </c>
    </row>
    <row r="98" spans="1:5" x14ac:dyDescent="0.25">
      <c r="A98" s="62">
        <f t="shared" si="4"/>
        <v>1096</v>
      </c>
      <c r="B98" s="62">
        <v>10</v>
      </c>
      <c r="C98" s="62" t="s">
        <v>76</v>
      </c>
      <c r="D98" s="62">
        <f t="shared" si="7"/>
        <v>6</v>
      </c>
      <c r="E98" s="62">
        <v>1</v>
      </c>
    </row>
    <row r="99" spans="1:5" x14ac:dyDescent="0.25">
      <c r="A99" s="62">
        <f t="shared" si="4"/>
        <v>1097</v>
      </c>
      <c r="B99" s="62">
        <v>10</v>
      </c>
      <c r="C99" s="62" t="s">
        <v>76</v>
      </c>
      <c r="D99" s="62">
        <f t="shared" si="7"/>
        <v>7</v>
      </c>
      <c r="E99" s="62">
        <v>1</v>
      </c>
    </row>
    <row r="100" spans="1:5" x14ac:dyDescent="0.25">
      <c r="A100" s="62">
        <f t="shared" si="4"/>
        <v>1098</v>
      </c>
      <c r="B100" s="62">
        <v>10</v>
      </c>
      <c r="C100" s="62" t="s">
        <v>76</v>
      </c>
      <c r="D100" s="62">
        <f t="shared" si="7"/>
        <v>8</v>
      </c>
      <c r="E100" s="62">
        <v>1</v>
      </c>
    </row>
    <row r="101" spans="1:5" x14ac:dyDescent="0.25">
      <c r="A101" s="62">
        <f t="shared" si="4"/>
        <v>1099</v>
      </c>
      <c r="B101" s="62">
        <v>10</v>
      </c>
      <c r="C101" s="62" t="s">
        <v>76</v>
      </c>
      <c r="D101" s="62">
        <f t="shared" si="7"/>
        <v>9</v>
      </c>
      <c r="E101" s="62">
        <v>1</v>
      </c>
    </row>
    <row r="102" spans="1:5" x14ac:dyDescent="0.25">
      <c r="A102" s="62">
        <f t="shared" si="4"/>
        <v>1100</v>
      </c>
      <c r="B102" s="62">
        <v>10</v>
      </c>
      <c r="C102" s="62" t="s">
        <v>76</v>
      </c>
      <c r="D102" s="62">
        <f t="shared" si="7"/>
        <v>10</v>
      </c>
      <c r="E102" s="62">
        <v>1</v>
      </c>
    </row>
    <row r="103" spans="1:5" x14ac:dyDescent="0.25">
      <c r="A103" s="11">
        <f t="shared" si="4"/>
        <v>1101</v>
      </c>
      <c r="B103" s="11">
        <v>11</v>
      </c>
      <c r="C103" s="11" t="s">
        <v>77</v>
      </c>
      <c r="D103" s="11">
        <f t="shared" si="7"/>
        <v>1</v>
      </c>
      <c r="E103" s="11">
        <v>1.2</v>
      </c>
    </row>
    <row r="104" spans="1:5" x14ac:dyDescent="0.25">
      <c r="A104" s="11">
        <f t="shared" si="4"/>
        <v>1102</v>
      </c>
      <c r="B104" s="11">
        <v>11</v>
      </c>
      <c r="C104" s="11" t="s">
        <v>77</v>
      </c>
      <c r="D104" s="11">
        <f t="shared" si="7"/>
        <v>2</v>
      </c>
      <c r="E104" s="11">
        <v>1.07</v>
      </c>
    </row>
    <row r="105" spans="1:5" x14ac:dyDescent="0.25">
      <c r="A105" s="11">
        <f t="shared" si="4"/>
        <v>1103</v>
      </c>
      <c r="B105" s="11">
        <v>11</v>
      </c>
      <c r="C105" s="11" t="s">
        <v>77</v>
      </c>
      <c r="D105" s="11">
        <f t="shared" si="7"/>
        <v>3</v>
      </c>
      <c r="E105" s="11">
        <v>1.08</v>
      </c>
    </row>
    <row r="106" spans="1:5" x14ac:dyDescent="0.25">
      <c r="A106" s="11">
        <f t="shared" si="4"/>
        <v>1104</v>
      </c>
      <c r="B106" s="11">
        <v>11</v>
      </c>
      <c r="C106" s="11" t="s">
        <v>77</v>
      </c>
      <c r="D106" s="11">
        <f t="shared" si="7"/>
        <v>4</v>
      </c>
      <c r="E106" s="11">
        <v>1.23</v>
      </c>
    </row>
    <row r="107" spans="1:5" x14ac:dyDescent="0.25">
      <c r="A107" s="11">
        <f t="shared" si="4"/>
        <v>1105</v>
      </c>
      <c r="B107" s="11">
        <v>11</v>
      </c>
      <c r="C107" s="11" t="s">
        <v>77</v>
      </c>
      <c r="D107" s="11">
        <f t="shared" si="7"/>
        <v>5</v>
      </c>
      <c r="E107" s="11">
        <v>1.42</v>
      </c>
    </row>
    <row r="108" spans="1:5" x14ac:dyDescent="0.25">
      <c r="A108" s="11">
        <f t="shared" si="4"/>
        <v>1106</v>
      </c>
      <c r="B108" s="11">
        <v>11</v>
      </c>
      <c r="C108" s="11" t="s">
        <v>77</v>
      </c>
      <c r="D108" s="11">
        <f t="shared" si="7"/>
        <v>6</v>
      </c>
      <c r="E108" s="11">
        <v>1.17</v>
      </c>
    </row>
    <row r="109" spans="1:5" x14ac:dyDescent="0.25">
      <c r="A109" s="11">
        <f t="shared" si="4"/>
        <v>1107</v>
      </c>
      <c r="B109" s="11">
        <v>11</v>
      </c>
      <c r="C109" s="11" t="s">
        <v>77</v>
      </c>
      <c r="D109" s="11">
        <f t="shared" si="7"/>
        <v>7</v>
      </c>
      <c r="E109" s="11">
        <v>1.17</v>
      </c>
    </row>
    <row r="110" spans="1:5" x14ac:dyDescent="0.25">
      <c r="A110" s="11">
        <f t="shared" si="4"/>
        <v>1108</v>
      </c>
      <c r="B110" s="11">
        <v>11</v>
      </c>
      <c r="C110" s="11" t="s">
        <v>77</v>
      </c>
      <c r="D110" s="11">
        <f t="shared" si="7"/>
        <v>8</v>
      </c>
      <c r="E110" s="11">
        <v>1.17</v>
      </c>
    </row>
    <row r="111" spans="1:5" x14ac:dyDescent="0.25">
      <c r="A111" s="11">
        <f t="shared" si="4"/>
        <v>1109</v>
      </c>
      <c r="B111" s="11">
        <v>11</v>
      </c>
      <c r="C111" s="11" t="s">
        <v>77</v>
      </c>
      <c r="D111" s="11">
        <f t="shared" si="7"/>
        <v>9</v>
      </c>
      <c r="E111" s="11">
        <v>1.17</v>
      </c>
    </row>
    <row r="112" spans="1:5" x14ac:dyDescent="0.25">
      <c r="A112" s="11">
        <f t="shared" si="4"/>
        <v>1110</v>
      </c>
      <c r="B112" s="11">
        <v>11</v>
      </c>
      <c r="C112" s="11" t="s">
        <v>77</v>
      </c>
      <c r="D112" s="11">
        <f t="shared" si="7"/>
        <v>10</v>
      </c>
      <c r="E112" s="11">
        <v>1.17</v>
      </c>
    </row>
  </sheetData>
  <phoneticPr fontId="10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>
      <selection activeCell="C28" sqref="C28"/>
    </sheetView>
  </sheetViews>
  <sheetFormatPr defaultColWidth="9" defaultRowHeight="14.4" x14ac:dyDescent="0.25"/>
  <cols>
    <col min="1" max="1" width="26.77734375" customWidth="1"/>
    <col min="2" max="2" width="24.5546875" customWidth="1"/>
  </cols>
  <sheetData>
    <row r="1" spans="1:2" s="52" customFormat="1" x14ac:dyDescent="0.25">
      <c r="A1" s="54" t="s">
        <v>78</v>
      </c>
      <c r="B1" s="54" t="s">
        <v>79</v>
      </c>
    </row>
    <row r="2" spans="1:2" s="53" customFormat="1" x14ac:dyDescent="0.25">
      <c r="A2" s="55" t="s">
        <v>54</v>
      </c>
      <c r="B2" s="55" t="s">
        <v>80</v>
      </c>
    </row>
    <row r="3" spans="1:2" x14ac:dyDescent="0.25">
      <c r="A3" s="68">
        <v>1</v>
      </c>
      <c r="B3" s="69">
        <v>1</v>
      </c>
    </row>
    <row r="4" spans="1:2" x14ac:dyDescent="0.25">
      <c r="A4" s="68">
        <v>2</v>
      </c>
      <c r="B4" s="69">
        <v>4</v>
      </c>
    </row>
    <row r="5" spans="1:2" x14ac:dyDescent="0.25">
      <c r="A5" s="68">
        <v>3</v>
      </c>
      <c r="B5" s="69">
        <v>8</v>
      </c>
    </row>
    <row r="6" spans="1:2" x14ac:dyDescent="0.25">
      <c r="A6" s="68">
        <v>4</v>
      </c>
      <c r="B6" s="69">
        <v>12</v>
      </c>
    </row>
    <row r="7" spans="1:2" x14ac:dyDescent="0.25">
      <c r="A7" s="68">
        <v>5</v>
      </c>
      <c r="B7" s="69">
        <v>20</v>
      </c>
    </row>
    <row r="8" spans="1:2" x14ac:dyDescent="0.25">
      <c r="A8" s="68">
        <v>6</v>
      </c>
      <c r="B8" s="69">
        <v>32</v>
      </c>
    </row>
    <row r="9" spans="1:2" x14ac:dyDescent="0.25">
      <c r="A9" s="68">
        <v>7</v>
      </c>
      <c r="B9" s="69">
        <v>50</v>
      </c>
    </row>
    <row r="10" spans="1:2" x14ac:dyDescent="0.25">
      <c r="A10" s="70">
        <v>8</v>
      </c>
      <c r="B10" s="71">
        <v>999</v>
      </c>
    </row>
    <row r="11" spans="1:2" x14ac:dyDescent="0.25">
      <c r="A11" s="70">
        <v>9</v>
      </c>
      <c r="B11" s="71">
        <v>999</v>
      </c>
    </row>
    <row r="12" spans="1:2" x14ac:dyDescent="0.25">
      <c r="A12" s="70">
        <v>10</v>
      </c>
      <c r="B12" s="71">
        <v>999</v>
      </c>
    </row>
  </sheetData>
  <phoneticPr fontId="10" type="noConversion"/>
  <pageMargins left="0.7" right="0.7" top="0.75" bottom="0.75" header="0.3" footer="0.3"/>
  <pageSetup paperSize="9" orientation="portrait" horizontalDpi="360" verticalDpi="36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02"/>
  <sheetViews>
    <sheetView topLeftCell="A169" workbookViewId="0">
      <selection activeCell="E303" sqref="E303"/>
    </sheetView>
  </sheetViews>
  <sheetFormatPr defaultColWidth="8.77734375" defaultRowHeight="14.4" x14ac:dyDescent="0.25"/>
  <cols>
    <col min="1" max="1" width="15.21875" style="1" customWidth="1"/>
    <col min="2" max="2" width="14.77734375" style="1" customWidth="1"/>
    <col min="3" max="3" width="21.21875" style="1" customWidth="1"/>
    <col min="4" max="4" width="17.88671875" style="1" customWidth="1"/>
    <col min="5" max="5" width="18.77734375" style="1" customWidth="1"/>
    <col min="6" max="6" width="12.33203125" customWidth="1"/>
  </cols>
  <sheetData>
    <row r="1" spans="1:12" x14ac:dyDescent="0.25">
      <c r="A1" s="3" t="s">
        <v>47</v>
      </c>
      <c r="B1" s="3" t="s">
        <v>48</v>
      </c>
      <c r="C1" s="3" t="s">
        <v>49</v>
      </c>
      <c r="D1" s="3" t="s">
        <v>50</v>
      </c>
      <c r="E1" s="86" t="s">
        <v>51</v>
      </c>
    </row>
    <row r="2" spans="1:12" x14ac:dyDescent="0.25">
      <c r="A2" s="3" t="s">
        <v>52</v>
      </c>
      <c r="B2" s="3" t="s">
        <v>53</v>
      </c>
      <c r="C2" s="3" t="s">
        <v>5</v>
      </c>
      <c r="D2" s="3" t="s">
        <v>54</v>
      </c>
      <c r="E2" s="86" t="s">
        <v>55</v>
      </c>
    </row>
    <row r="3" spans="1:12" x14ac:dyDescent="0.25">
      <c r="A3" s="11">
        <f>H3*10+I3+J3</f>
        <v>90031</v>
      </c>
      <c r="B3" s="11">
        <v>1</v>
      </c>
      <c r="C3" s="12" t="s">
        <v>81</v>
      </c>
      <c r="D3" s="11">
        <v>1</v>
      </c>
      <c r="E3" s="13">
        <v>0.2</v>
      </c>
      <c r="F3" s="13" t="s">
        <v>82</v>
      </c>
      <c r="G3" s="13"/>
      <c r="H3" s="13">
        <v>9000</v>
      </c>
      <c r="I3" s="13">
        <v>31</v>
      </c>
      <c r="J3" s="13">
        <v>0</v>
      </c>
      <c r="K3" s="84">
        <v>5</v>
      </c>
      <c r="L3" s="85">
        <f>E3*K3</f>
        <v>1</v>
      </c>
    </row>
    <row r="4" spans="1:12" x14ac:dyDescent="0.25">
      <c r="A4" s="11">
        <f t="shared" ref="A4:A32" si="0">H4*10+I4+J4</f>
        <v>90032</v>
      </c>
      <c r="B4" s="11">
        <v>1</v>
      </c>
      <c r="C4" s="12" t="s">
        <v>81</v>
      </c>
      <c r="D4" s="11">
        <v>2</v>
      </c>
      <c r="E4" s="13">
        <v>0.2</v>
      </c>
      <c r="F4" s="13" t="s">
        <v>82</v>
      </c>
      <c r="G4" s="13"/>
      <c r="H4" s="13">
        <v>9000</v>
      </c>
      <c r="I4" s="13">
        <v>32</v>
      </c>
      <c r="J4" s="13">
        <v>0</v>
      </c>
      <c r="K4" s="84">
        <v>10</v>
      </c>
      <c r="L4" s="85">
        <f t="shared" ref="L4:L12" si="1">E4*K4</f>
        <v>2</v>
      </c>
    </row>
    <row r="5" spans="1:12" x14ac:dyDescent="0.25">
      <c r="A5" s="11">
        <f t="shared" si="0"/>
        <v>90033</v>
      </c>
      <c r="B5" s="11">
        <v>1</v>
      </c>
      <c r="C5" s="12" t="s">
        <v>81</v>
      </c>
      <c r="D5" s="11">
        <v>3</v>
      </c>
      <c r="E5" s="13">
        <v>0.2</v>
      </c>
      <c r="F5" s="13" t="s">
        <v>82</v>
      </c>
      <c r="G5" s="13"/>
      <c r="H5" s="13">
        <v>9000</v>
      </c>
      <c r="I5" s="13">
        <v>33</v>
      </c>
      <c r="J5" s="13">
        <v>0</v>
      </c>
      <c r="K5" s="84">
        <v>15</v>
      </c>
      <c r="L5" s="85">
        <f t="shared" si="1"/>
        <v>3</v>
      </c>
    </row>
    <row r="6" spans="1:12" x14ac:dyDescent="0.25">
      <c r="A6" s="11">
        <f t="shared" si="0"/>
        <v>90034</v>
      </c>
      <c r="B6" s="11">
        <v>1</v>
      </c>
      <c r="C6" s="12" t="s">
        <v>81</v>
      </c>
      <c r="D6" s="11">
        <v>4</v>
      </c>
      <c r="E6" s="13">
        <v>0.2</v>
      </c>
      <c r="F6" s="13" t="s">
        <v>82</v>
      </c>
      <c r="G6" s="13"/>
      <c r="H6" s="13">
        <v>9000</v>
      </c>
      <c r="I6" s="13">
        <v>34</v>
      </c>
      <c r="J6" s="13">
        <v>0</v>
      </c>
      <c r="K6" s="84">
        <v>20</v>
      </c>
      <c r="L6" s="85">
        <f t="shared" si="1"/>
        <v>4</v>
      </c>
    </row>
    <row r="7" spans="1:12" x14ac:dyDescent="0.25">
      <c r="A7" s="11">
        <f t="shared" si="0"/>
        <v>90035</v>
      </c>
      <c r="B7" s="11">
        <v>1</v>
      </c>
      <c r="C7" s="12" t="s">
        <v>81</v>
      </c>
      <c r="D7" s="11">
        <v>5</v>
      </c>
      <c r="E7" s="13">
        <v>0.2</v>
      </c>
      <c r="F7" s="13" t="s">
        <v>82</v>
      </c>
      <c r="G7" s="13"/>
      <c r="H7" s="13">
        <v>9000</v>
      </c>
      <c r="I7" s="13">
        <v>35</v>
      </c>
      <c r="J7" s="13">
        <v>0</v>
      </c>
      <c r="K7" s="84">
        <v>25</v>
      </c>
      <c r="L7" s="85">
        <f t="shared" si="1"/>
        <v>5</v>
      </c>
    </row>
    <row r="8" spans="1:12" x14ac:dyDescent="0.25">
      <c r="A8" s="11">
        <f t="shared" si="0"/>
        <v>90036</v>
      </c>
      <c r="B8" s="11">
        <v>1</v>
      </c>
      <c r="C8" s="12" t="s">
        <v>81</v>
      </c>
      <c r="D8" s="11">
        <v>6</v>
      </c>
      <c r="E8" s="13">
        <v>0.2</v>
      </c>
      <c r="F8" s="13" t="s">
        <v>82</v>
      </c>
      <c r="G8" s="13"/>
      <c r="H8" s="13">
        <v>9000</v>
      </c>
      <c r="I8" s="13">
        <v>36</v>
      </c>
      <c r="J8" s="13">
        <v>0</v>
      </c>
      <c r="K8" s="84">
        <v>30</v>
      </c>
      <c r="L8" s="85">
        <f t="shared" si="1"/>
        <v>6</v>
      </c>
    </row>
    <row r="9" spans="1:12" x14ac:dyDescent="0.25">
      <c r="A9" s="11">
        <f t="shared" si="0"/>
        <v>90037</v>
      </c>
      <c r="B9" s="11">
        <v>1</v>
      </c>
      <c r="C9" s="12" t="s">
        <v>81</v>
      </c>
      <c r="D9" s="11">
        <v>7</v>
      </c>
      <c r="E9" s="13">
        <v>0.2</v>
      </c>
      <c r="F9" s="13" t="s">
        <v>82</v>
      </c>
      <c r="G9" s="13"/>
      <c r="H9" s="13">
        <v>9000</v>
      </c>
      <c r="I9" s="13">
        <v>37</v>
      </c>
      <c r="J9" s="13">
        <v>0</v>
      </c>
      <c r="K9" s="84">
        <v>35</v>
      </c>
      <c r="L9" s="85">
        <f t="shared" si="1"/>
        <v>7</v>
      </c>
    </row>
    <row r="10" spans="1:12" x14ac:dyDescent="0.25">
      <c r="A10" s="11">
        <f t="shared" si="0"/>
        <v>90038</v>
      </c>
      <c r="B10" s="11">
        <v>1</v>
      </c>
      <c r="C10" s="12" t="s">
        <v>81</v>
      </c>
      <c r="D10" s="11">
        <v>8</v>
      </c>
      <c r="E10" s="13">
        <v>0.2</v>
      </c>
      <c r="F10" s="13" t="s">
        <v>82</v>
      </c>
      <c r="G10" s="13"/>
      <c r="H10" s="13">
        <v>9000</v>
      </c>
      <c r="I10" s="13">
        <v>38</v>
      </c>
      <c r="J10" s="13">
        <v>0</v>
      </c>
      <c r="K10" s="84">
        <v>40</v>
      </c>
      <c r="L10" s="85">
        <f t="shared" si="1"/>
        <v>8</v>
      </c>
    </row>
    <row r="11" spans="1:12" x14ac:dyDescent="0.25">
      <c r="A11" s="11">
        <f t="shared" si="0"/>
        <v>90039</v>
      </c>
      <c r="B11" s="11">
        <v>1</v>
      </c>
      <c r="C11" s="12" t="s">
        <v>81</v>
      </c>
      <c r="D11" s="11">
        <v>9</v>
      </c>
      <c r="E11" s="13">
        <v>0.2</v>
      </c>
      <c r="F11" s="13" t="s">
        <v>82</v>
      </c>
      <c r="G11" s="13"/>
      <c r="H11" s="13">
        <v>9000</v>
      </c>
      <c r="I11" s="13">
        <v>39</v>
      </c>
      <c r="J11" s="13">
        <v>0</v>
      </c>
      <c r="K11" s="84">
        <v>45</v>
      </c>
      <c r="L11" s="85">
        <f t="shared" si="1"/>
        <v>9</v>
      </c>
    </row>
    <row r="12" spans="1:12" x14ac:dyDescent="0.25">
      <c r="A12" s="11">
        <f t="shared" si="0"/>
        <v>90040</v>
      </c>
      <c r="B12" s="11">
        <v>1</v>
      </c>
      <c r="C12" s="12" t="s">
        <v>81</v>
      </c>
      <c r="D12" s="11">
        <v>10</v>
      </c>
      <c r="E12" s="13">
        <v>0.2</v>
      </c>
      <c r="F12" s="13" t="s">
        <v>82</v>
      </c>
      <c r="G12" s="13"/>
      <c r="H12" s="13">
        <v>9000</v>
      </c>
      <c r="I12" s="13">
        <v>40</v>
      </c>
      <c r="J12" s="13">
        <v>0</v>
      </c>
      <c r="K12" s="84">
        <v>50</v>
      </c>
      <c r="L12" s="85">
        <f t="shared" si="1"/>
        <v>10</v>
      </c>
    </row>
    <row r="13" spans="1:12" x14ac:dyDescent="0.25">
      <c r="A13" s="14">
        <f t="shared" si="0"/>
        <v>90101</v>
      </c>
      <c r="B13" s="14">
        <v>1</v>
      </c>
      <c r="C13" s="15" t="s">
        <v>83</v>
      </c>
      <c r="D13" s="14">
        <v>1</v>
      </c>
      <c r="E13" s="16">
        <v>0.6</v>
      </c>
      <c r="F13" s="16" t="s">
        <v>39</v>
      </c>
      <c r="G13" s="16"/>
      <c r="H13" s="16">
        <v>9000</v>
      </c>
      <c r="I13" s="16">
        <v>1</v>
      </c>
      <c r="J13" s="16">
        <v>100</v>
      </c>
    </row>
    <row r="14" spans="1:12" x14ac:dyDescent="0.25">
      <c r="A14" s="14">
        <f t="shared" si="0"/>
        <v>90102</v>
      </c>
      <c r="B14" s="14">
        <v>1</v>
      </c>
      <c r="C14" s="15" t="s">
        <v>83</v>
      </c>
      <c r="D14" s="14">
        <v>2</v>
      </c>
      <c r="E14" s="16">
        <v>0.6</v>
      </c>
      <c r="F14" s="16" t="s">
        <v>39</v>
      </c>
      <c r="G14" s="16"/>
      <c r="H14" s="16">
        <v>9000</v>
      </c>
      <c r="I14" s="16">
        <v>2</v>
      </c>
      <c r="J14" s="16">
        <v>100</v>
      </c>
    </row>
    <row r="15" spans="1:12" x14ac:dyDescent="0.25">
      <c r="A15" s="14">
        <f t="shared" si="0"/>
        <v>90103</v>
      </c>
      <c r="B15" s="14">
        <v>1</v>
      </c>
      <c r="C15" s="15" t="s">
        <v>83</v>
      </c>
      <c r="D15" s="14">
        <v>3</v>
      </c>
      <c r="E15" s="16">
        <v>0.6</v>
      </c>
      <c r="F15" s="16" t="s">
        <v>39</v>
      </c>
      <c r="G15" s="16"/>
      <c r="H15" s="16">
        <v>9000</v>
      </c>
      <c r="I15" s="16">
        <v>3</v>
      </c>
      <c r="J15" s="16">
        <v>100</v>
      </c>
    </row>
    <row r="16" spans="1:12" x14ac:dyDescent="0.25">
      <c r="A16" s="14">
        <f t="shared" si="0"/>
        <v>90104</v>
      </c>
      <c r="B16" s="14">
        <v>1</v>
      </c>
      <c r="C16" s="15" t="s">
        <v>83</v>
      </c>
      <c r="D16" s="14">
        <v>4</v>
      </c>
      <c r="E16" s="16">
        <v>0.6</v>
      </c>
      <c r="F16" s="16" t="s">
        <v>39</v>
      </c>
      <c r="G16" s="16"/>
      <c r="H16" s="16">
        <v>9000</v>
      </c>
      <c r="I16" s="16">
        <v>4</v>
      </c>
      <c r="J16" s="16">
        <v>100</v>
      </c>
    </row>
    <row r="17" spans="1:10" x14ac:dyDescent="0.25">
      <c r="A17" s="14">
        <f t="shared" si="0"/>
        <v>90105</v>
      </c>
      <c r="B17" s="14">
        <v>1</v>
      </c>
      <c r="C17" s="15" t="s">
        <v>83</v>
      </c>
      <c r="D17" s="14">
        <v>5</v>
      </c>
      <c r="E17" s="16">
        <v>0.6</v>
      </c>
      <c r="F17" s="16" t="s">
        <v>39</v>
      </c>
      <c r="G17" s="16"/>
      <c r="H17" s="16">
        <v>9000</v>
      </c>
      <c r="I17" s="16">
        <v>5</v>
      </c>
      <c r="J17" s="16">
        <v>100</v>
      </c>
    </row>
    <row r="18" spans="1:10" x14ac:dyDescent="0.25">
      <c r="A18" s="14">
        <f t="shared" si="0"/>
        <v>90106</v>
      </c>
      <c r="B18" s="14">
        <v>1</v>
      </c>
      <c r="C18" s="15" t="s">
        <v>83</v>
      </c>
      <c r="D18" s="14">
        <v>6</v>
      </c>
      <c r="E18" s="16">
        <v>0.6</v>
      </c>
      <c r="F18" s="16" t="s">
        <v>39</v>
      </c>
      <c r="G18" s="16"/>
      <c r="H18" s="16">
        <v>9000</v>
      </c>
      <c r="I18" s="16">
        <v>6</v>
      </c>
      <c r="J18" s="16">
        <v>100</v>
      </c>
    </row>
    <row r="19" spans="1:10" x14ac:dyDescent="0.25">
      <c r="A19" s="14">
        <f t="shared" si="0"/>
        <v>90107</v>
      </c>
      <c r="B19" s="14">
        <v>1</v>
      </c>
      <c r="C19" s="15" t="s">
        <v>83</v>
      </c>
      <c r="D19" s="14">
        <v>7</v>
      </c>
      <c r="E19" s="16">
        <v>0.6</v>
      </c>
      <c r="F19" s="16" t="s">
        <v>39</v>
      </c>
      <c r="G19" s="16"/>
      <c r="H19" s="16">
        <v>9000</v>
      </c>
      <c r="I19" s="16">
        <v>7</v>
      </c>
      <c r="J19" s="16">
        <v>100</v>
      </c>
    </row>
    <row r="20" spans="1:10" x14ac:dyDescent="0.25">
      <c r="A20" s="14">
        <f t="shared" si="0"/>
        <v>90108</v>
      </c>
      <c r="B20" s="14">
        <v>1</v>
      </c>
      <c r="C20" s="15" t="s">
        <v>83</v>
      </c>
      <c r="D20" s="14">
        <v>8</v>
      </c>
      <c r="E20" s="16">
        <v>0.6</v>
      </c>
      <c r="F20" s="16" t="s">
        <v>39</v>
      </c>
      <c r="G20" s="16"/>
      <c r="H20" s="16">
        <v>9000</v>
      </c>
      <c r="I20" s="16">
        <v>8</v>
      </c>
      <c r="J20" s="16">
        <v>100</v>
      </c>
    </row>
    <row r="21" spans="1:10" x14ac:dyDescent="0.25">
      <c r="A21" s="14">
        <f t="shared" si="0"/>
        <v>90109</v>
      </c>
      <c r="B21" s="14">
        <v>1</v>
      </c>
      <c r="C21" s="15" t="s">
        <v>83</v>
      </c>
      <c r="D21" s="14">
        <v>9</v>
      </c>
      <c r="E21" s="16">
        <v>0.6</v>
      </c>
      <c r="F21" s="16" t="s">
        <v>39</v>
      </c>
      <c r="G21" s="16"/>
      <c r="H21" s="16">
        <v>9000</v>
      </c>
      <c r="I21" s="16">
        <v>9</v>
      </c>
      <c r="J21" s="16">
        <v>100</v>
      </c>
    </row>
    <row r="22" spans="1:10" x14ac:dyDescent="0.25">
      <c r="A22" s="14">
        <f t="shared" si="0"/>
        <v>90110</v>
      </c>
      <c r="B22" s="14">
        <v>1</v>
      </c>
      <c r="C22" s="15" t="s">
        <v>83</v>
      </c>
      <c r="D22" s="14">
        <v>10</v>
      </c>
      <c r="E22" s="16">
        <v>0.6</v>
      </c>
      <c r="F22" s="16" t="s">
        <v>39</v>
      </c>
      <c r="G22" s="16"/>
      <c r="H22" s="16">
        <v>9000</v>
      </c>
      <c r="I22" s="16">
        <v>10</v>
      </c>
      <c r="J22" s="16">
        <v>100</v>
      </c>
    </row>
    <row r="23" spans="1:10" x14ac:dyDescent="0.25">
      <c r="A23" s="17">
        <f t="shared" si="0"/>
        <v>10001</v>
      </c>
      <c r="B23" s="17">
        <v>1</v>
      </c>
      <c r="C23" s="18" t="s">
        <v>84</v>
      </c>
      <c r="D23" s="17">
        <f>D13</f>
        <v>1</v>
      </c>
      <c r="E23" s="19">
        <v>2</v>
      </c>
      <c r="F23" s="19" t="s">
        <v>84</v>
      </c>
      <c r="G23" s="19"/>
      <c r="H23" s="19">
        <v>1000</v>
      </c>
      <c r="I23" s="19">
        <v>1</v>
      </c>
      <c r="J23" s="19">
        <v>0</v>
      </c>
    </row>
    <row r="24" spans="1:10" x14ac:dyDescent="0.25">
      <c r="A24" s="17">
        <f t="shared" si="0"/>
        <v>10002</v>
      </c>
      <c r="B24" s="17">
        <v>1</v>
      </c>
      <c r="C24" s="18" t="s">
        <v>84</v>
      </c>
      <c r="D24" s="17">
        <f t="shared" ref="D24:D87" si="2">D14</f>
        <v>2</v>
      </c>
      <c r="E24" s="19">
        <v>2</v>
      </c>
      <c r="F24" s="19" t="s">
        <v>84</v>
      </c>
      <c r="G24" s="19"/>
      <c r="H24" s="19">
        <v>1000</v>
      </c>
      <c r="I24" s="19">
        <v>2</v>
      </c>
      <c r="J24" s="19">
        <v>0</v>
      </c>
    </row>
    <row r="25" spans="1:10" x14ac:dyDescent="0.25">
      <c r="A25" s="17">
        <f t="shared" si="0"/>
        <v>10003</v>
      </c>
      <c r="B25" s="17">
        <v>1</v>
      </c>
      <c r="C25" s="18" t="s">
        <v>84</v>
      </c>
      <c r="D25" s="17">
        <f t="shared" si="2"/>
        <v>3</v>
      </c>
      <c r="E25" s="19">
        <v>2</v>
      </c>
      <c r="F25" s="19" t="s">
        <v>84</v>
      </c>
      <c r="G25" s="19"/>
      <c r="H25" s="19">
        <v>1000</v>
      </c>
      <c r="I25" s="19">
        <v>3</v>
      </c>
      <c r="J25" s="19">
        <v>0</v>
      </c>
    </row>
    <row r="26" spans="1:10" x14ac:dyDescent="0.25">
      <c r="A26" s="17">
        <f t="shared" si="0"/>
        <v>10004</v>
      </c>
      <c r="B26" s="17">
        <v>1</v>
      </c>
      <c r="C26" s="18" t="s">
        <v>84</v>
      </c>
      <c r="D26" s="17">
        <f t="shared" si="2"/>
        <v>4</v>
      </c>
      <c r="E26" s="19">
        <v>2.5</v>
      </c>
      <c r="F26" s="19" t="s">
        <v>84</v>
      </c>
      <c r="G26" s="19"/>
      <c r="H26" s="19">
        <v>1000</v>
      </c>
      <c r="I26" s="19">
        <v>4</v>
      </c>
      <c r="J26" s="19">
        <v>0</v>
      </c>
    </row>
    <row r="27" spans="1:10" x14ac:dyDescent="0.25">
      <c r="A27" s="17">
        <f t="shared" si="0"/>
        <v>10005</v>
      </c>
      <c r="B27" s="17">
        <v>1</v>
      </c>
      <c r="C27" s="18" t="s">
        <v>84</v>
      </c>
      <c r="D27" s="17">
        <f t="shared" si="2"/>
        <v>5</v>
      </c>
      <c r="E27" s="19">
        <v>3.2</v>
      </c>
      <c r="F27" s="19" t="s">
        <v>84</v>
      </c>
      <c r="G27" s="19"/>
      <c r="H27" s="19">
        <v>1000</v>
      </c>
      <c r="I27" s="19">
        <v>5</v>
      </c>
      <c r="J27" s="19">
        <v>0</v>
      </c>
    </row>
    <row r="28" spans="1:10" x14ac:dyDescent="0.25">
      <c r="A28" s="17">
        <f t="shared" si="0"/>
        <v>10006</v>
      </c>
      <c r="B28" s="17">
        <v>1</v>
      </c>
      <c r="C28" s="18" t="s">
        <v>84</v>
      </c>
      <c r="D28" s="17">
        <f t="shared" si="2"/>
        <v>6</v>
      </c>
      <c r="E28" s="19">
        <v>4.3</v>
      </c>
      <c r="F28" s="19" t="s">
        <v>84</v>
      </c>
      <c r="G28" s="19"/>
      <c r="H28" s="19">
        <v>1000</v>
      </c>
      <c r="I28" s="19">
        <v>6</v>
      </c>
      <c r="J28" s="19">
        <v>0</v>
      </c>
    </row>
    <row r="29" spans="1:10" x14ac:dyDescent="0.25">
      <c r="A29" s="17">
        <f t="shared" si="0"/>
        <v>10007</v>
      </c>
      <c r="B29" s="17">
        <v>1</v>
      </c>
      <c r="C29" s="18" t="s">
        <v>84</v>
      </c>
      <c r="D29" s="17">
        <f t="shared" si="2"/>
        <v>7</v>
      </c>
      <c r="E29" s="19">
        <v>6</v>
      </c>
      <c r="F29" s="19" t="s">
        <v>84</v>
      </c>
      <c r="G29" s="19"/>
      <c r="H29" s="19">
        <v>1000</v>
      </c>
      <c r="I29" s="19">
        <v>7</v>
      </c>
      <c r="J29" s="19">
        <v>0</v>
      </c>
    </row>
    <row r="30" spans="1:10" x14ac:dyDescent="0.25">
      <c r="A30" s="17">
        <f t="shared" si="0"/>
        <v>10008</v>
      </c>
      <c r="B30" s="17">
        <v>1</v>
      </c>
      <c r="C30" s="18" t="s">
        <v>84</v>
      </c>
      <c r="D30" s="17">
        <f t="shared" si="2"/>
        <v>8</v>
      </c>
      <c r="E30" s="19">
        <v>8.5</v>
      </c>
      <c r="F30" s="19" t="s">
        <v>84</v>
      </c>
      <c r="G30" s="19"/>
      <c r="H30" s="19">
        <v>1000</v>
      </c>
      <c r="I30" s="19">
        <v>8</v>
      </c>
      <c r="J30" s="19">
        <v>0</v>
      </c>
    </row>
    <row r="31" spans="1:10" x14ac:dyDescent="0.25">
      <c r="A31" s="17">
        <f t="shared" si="0"/>
        <v>10009</v>
      </c>
      <c r="B31" s="17">
        <v>1</v>
      </c>
      <c r="C31" s="18" t="s">
        <v>84</v>
      </c>
      <c r="D31" s="17">
        <f t="shared" si="2"/>
        <v>9</v>
      </c>
      <c r="E31" s="19">
        <v>12.2</v>
      </c>
      <c r="F31" s="19" t="s">
        <v>84</v>
      </c>
      <c r="G31" s="19"/>
      <c r="H31" s="19">
        <v>1000</v>
      </c>
      <c r="I31" s="19">
        <v>9</v>
      </c>
      <c r="J31" s="19">
        <v>0</v>
      </c>
    </row>
    <row r="32" spans="1:10" x14ac:dyDescent="0.25">
      <c r="A32" s="20">
        <f t="shared" si="0"/>
        <v>10010</v>
      </c>
      <c r="B32" s="20">
        <v>1</v>
      </c>
      <c r="C32" s="21" t="s">
        <v>84</v>
      </c>
      <c r="D32" s="20">
        <f t="shared" si="2"/>
        <v>10</v>
      </c>
      <c r="E32" s="22">
        <v>17.8</v>
      </c>
      <c r="F32" s="22" t="s">
        <v>84</v>
      </c>
      <c r="G32" s="22"/>
      <c r="H32" s="22">
        <v>1000</v>
      </c>
      <c r="I32" s="22">
        <v>10</v>
      </c>
      <c r="J32" s="22">
        <v>0</v>
      </c>
    </row>
    <row r="33" spans="1:10" ht="15" customHeight="1" x14ac:dyDescent="0.25">
      <c r="A33" s="23">
        <f t="shared" ref="A33:A67" si="3">H33*10+I33</f>
        <v>20001</v>
      </c>
      <c r="B33" s="23">
        <v>1</v>
      </c>
      <c r="C33" s="24" t="s">
        <v>85</v>
      </c>
      <c r="D33" s="23">
        <f t="shared" si="2"/>
        <v>1</v>
      </c>
      <c r="E33" s="25">
        <v>2</v>
      </c>
      <c r="F33" s="25" t="s">
        <v>85</v>
      </c>
      <c r="G33" s="25"/>
      <c r="H33" s="25">
        <v>2000</v>
      </c>
      <c r="I33" s="25">
        <f t="shared" ref="I33:I77" si="4">I23</f>
        <v>1</v>
      </c>
      <c r="J33" s="25">
        <v>0</v>
      </c>
    </row>
    <row r="34" spans="1:10" x14ac:dyDescent="0.25">
      <c r="A34" s="23">
        <f t="shared" si="3"/>
        <v>20002</v>
      </c>
      <c r="B34" s="23">
        <v>1</v>
      </c>
      <c r="C34" s="24" t="s">
        <v>85</v>
      </c>
      <c r="D34" s="23">
        <f t="shared" si="2"/>
        <v>2</v>
      </c>
      <c r="E34" s="25">
        <v>2</v>
      </c>
      <c r="F34" s="25" t="s">
        <v>85</v>
      </c>
      <c r="G34" s="25"/>
      <c r="H34" s="25">
        <v>2000</v>
      </c>
      <c r="I34" s="25">
        <f t="shared" si="4"/>
        <v>2</v>
      </c>
      <c r="J34" s="25">
        <v>0</v>
      </c>
    </row>
    <row r="35" spans="1:10" x14ac:dyDescent="0.25">
      <c r="A35" s="23">
        <f t="shared" si="3"/>
        <v>20003</v>
      </c>
      <c r="B35" s="23">
        <v>1</v>
      </c>
      <c r="C35" s="24" t="s">
        <v>85</v>
      </c>
      <c r="D35" s="23">
        <f t="shared" si="2"/>
        <v>3</v>
      </c>
      <c r="E35" s="25">
        <v>2</v>
      </c>
      <c r="F35" s="25" t="s">
        <v>85</v>
      </c>
      <c r="G35" s="25"/>
      <c r="H35" s="25">
        <v>2000</v>
      </c>
      <c r="I35" s="25">
        <f t="shared" si="4"/>
        <v>3</v>
      </c>
      <c r="J35" s="25">
        <v>0</v>
      </c>
    </row>
    <row r="36" spans="1:10" x14ac:dyDescent="0.25">
      <c r="A36" s="23">
        <f t="shared" si="3"/>
        <v>20004</v>
      </c>
      <c r="B36" s="23">
        <v>1</v>
      </c>
      <c r="C36" s="24" t="s">
        <v>85</v>
      </c>
      <c r="D36" s="23">
        <f t="shared" si="2"/>
        <v>4</v>
      </c>
      <c r="E36" s="25">
        <v>2.5</v>
      </c>
      <c r="F36" s="25" t="s">
        <v>85</v>
      </c>
      <c r="G36" s="25"/>
      <c r="H36" s="25">
        <v>2000</v>
      </c>
      <c r="I36" s="25">
        <f t="shared" si="4"/>
        <v>4</v>
      </c>
      <c r="J36" s="25">
        <v>0</v>
      </c>
    </row>
    <row r="37" spans="1:10" x14ac:dyDescent="0.25">
      <c r="A37" s="23">
        <f t="shared" si="3"/>
        <v>20005</v>
      </c>
      <c r="B37" s="23">
        <v>1</v>
      </c>
      <c r="C37" s="24" t="s">
        <v>85</v>
      </c>
      <c r="D37" s="23">
        <f t="shared" si="2"/>
        <v>5</v>
      </c>
      <c r="E37" s="25">
        <v>3.2</v>
      </c>
      <c r="F37" s="25" t="s">
        <v>85</v>
      </c>
      <c r="G37" s="25"/>
      <c r="H37" s="25">
        <v>2000</v>
      </c>
      <c r="I37" s="25">
        <f t="shared" si="4"/>
        <v>5</v>
      </c>
      <c r="J37" s="25">
        <v>0</v>
      </c>
    </row>
    <row r="38" spans="1:10" x14ac:dyDescent="0.25">
      <c r="A38" s="23">
        <f t="shared" si="3"/>
        <v>20006</v>
      </c>
      <c r="B38" s="23">
        <v>1</v>
      </c>
      <c r="C38" s="24" t="s">
        <v>85</v>
      </c>
      <c r="D38" s="23">
        <f t="shared" si="2"/>
        <v>6</v>
      </c>
      <c r="E38" s="25">
        <v>4.3</v>
      </c>
      <c r="F38" s="25" t="s">
        <v>85</v>
      </c>
      <c r="G38" s="25"/>
      <c r="H38" s="25">
        <v>2000</v>
      </c>
      <c r="I38" s="25">
        <f t="shared" si="4"/>
        <v>6</v>
      </c>
      <c r="J38" s="25">
        <v>0</v>
      </c>
    </row>
    <row r="39" spans="1:10" x14ac:dyDescent="0.25">
      <c r="A39" s="23">
        <f t="shared" si="3"/>
        <v>20007</v>
      </c>
      <c r="B39" s="23">
        <v>1</v>
      </c>
      <c r="C39" s="24" t="s">
        <v>85</v>
      </c>
      <c r="D39" s="23">
        <f t="shared" si="2"/>
        <v>7</v>
      </c>
      <c r="E39" s="25">
        <v>6</v>
      </c>
      <c r="F39" s="25" t="s">
        <v>85</v>
      </c>
      <c r="G39" s="25"/>
      <c r="H39" s="25">
        <v>2000</v>
      </c>
      <c r="I39" s="25">
        <f t="shared" si="4"/>
        <v>7</v>
      </c>
      <c r="J39" s="25">
        <v>0</v>
      </c>
    </row>
    <row r="40" spans="1:10" x14ac:dyDescent="0.25">
      <c r="A40" s="23">
        <f t="shared" si="3"/>
        <v>20008</v>
      </c>
      <c r="B40" s="23">
        <v>1</v>
      </c>
      <c r="C40" s="24" t="s">
        <v>85</v>
      </c>
      <c r="D40" s="23">
        <f t="shared" si="2"/>
        <v>8</v>
      </c>
      <c r="E40" s="25">
        <v>8.5</v>
      </c>
      <c r="F40" s="25" t="s">
        <v>85</v>
      </c>
      <c r="G40" s="25"/>
      <c r="H40" s="25">
        <v>2000</v>
      </c>
      <c r="I40" s="25">
        <f t="shared" si="4"/>
        <v>8</v>
      </c>
      <c r="J40" s="25">
        <v>0</v>
      </c>
    </row>
    <row r="41" spans="1:10" x14ac:dyDescent="0.25">
      <c r="A41" s="23">
        <f t="shared" si="3"/>
        <v>20009</v>
      </c>
      <c r="B41" s="23">
        <v>1</v>
      </c>
      <c r="C41" s="24" t="s">
        <v>85</v>
      </c>
      <c r="D41" s="23">
        <f t="shared" si="2"/>
        <v>9</v>
      </c>
      <c r="E41" s="25">
        <v>12.2</v>
      </c>
      <c r="F41" s="25" t="s">
        <v>85</v>
      </c>
      <c r="G41" s="25"/>
      <c r="H41" s="25">
        <v>2000</v>
      </c>
      <c r="I41" s="25">
        <f t="shared" si="4"/>
        <v>9</v>
      </c>
      <c r="J41" s="25">
        <v>0</v>
      </c>
    </row>
    <row r="42" spans="1:10" x14ac:dyDescent="0.25">
      <c r="A42" s="23">
        <f t="shared" si="3"/>
        <v>20010</v>
      </c>
      <c r="B42" s="23">
        <v>1</v>
      </c>
      <c r="C42" s="24" t="s">
        <v>85</v>
      </c>
      <c r="D42" s="23">
        <f t="shared" si="2"/>
        <v>10</v>
      </c>
      <c r="E42" s="25">
        <v>17.8</v>
      </c>
      <c r="F42" s="25" t="s">
        <v>85</v>
      </c>
      <c r="G42" s="25"/>
      <c r="H42" s="25">
        <v>2000</v>
      </c>
      <c r="I42" s="25">
        <f t="shared" si="4"/>
        <v>10</v>
      </c>
      <c r="J42" s="25">
        <v>0</v>
      </c>
    </row>
    <row r="43" spans="1:10" x14ac:dyDescent="0.25">
      <c r="A43" s="11">
        <f t="shared" si="3"/>
        <v>30001</v>
      </c>
      <c r="B43" s="11">
        <v>1</v>
      </c>
      <c r="C43" s="26" t="s">
        <v>86</v>
      </c>
      <c r="D43" s="11">
        <f t="shared" si="2"/>
        <v>1</v>
      </c>
      <c r="E43" s="13">
        <v>2</v>
      </c>
      <c r="F43" s="13" t="s">
        <v>86</v>
      </c>
      <c r="G43" s="13"/>
      <c r="H43" s="13">
        <v>3000</v>
      </c>
      <c r="I43" s="13">
        <f t="shared" si="4"/>
        <v>1</v>
      </c>
      <c r="J43" s="13">
        <v>0</v>
      </c>
    </row>
    <row r="44" spans="1:10" x14ac:dyDescent="0.25">
      <c r="A44" s="11">
        <f t="shared" si="3"/>
        <v>30002</v>
      </c>
      <c r="B44" s="11">
        <v>1</v>
      </c>
      <c r="C44" s="26" t="s">
        <v>86</v>
      </c>
      <c r="D44" s="11">
        <f t="shared" si="2"/>
        <v>2</v>
      </c>
      <c r="E44" s="13">
        <v>2</v>
      </c>
      <c r="F44" s="13" t="s">
        <v>86</v>
      </c>
      <c r="G44" s="13"/>
      <c r="H44" s="13">
        <v>3000</v>
      </c>
      <c r="I44" s="13">
        <f t="shared" si="4"/>
        <v>2</v>
      </c>
      <c r="J44" s="13">
        <v>0</v>
      </c>
    </row>
    <row r="45" spans="1:10" x14ac:dyDescent="0.25">
      <c r="A45" s="11">
        <f t="shared" si="3"/>
        <v>30003</v>
      </c>
      <c r="B45" s="11">
        <v>1</v>
      </c>
      <c r="C45" s="26" t="s">
        <v>86</v>
      </c>
      <c r="D45" s="11">
        <f t="shared" si="2"/>
        <v>3</v>
      </c>
      <c r="E45" s="13">
        <v>2</v>
      </c>
      <c r="F45" s="13" t="s">
        <v>86</v>
      </c>
      <c r="G45" s="13"/>
      <c r="H45" s="13">
        <v>3000</v>
      </c>
      <c r="I45" s="13">
        <f t="shared" si="4"/>
        <v>3</v>
      </c>
      <c r="J45" s="13">
        <v>0</v>
      </c>
    </row>
    <row r="46" spans="1:10" x14ac:dyDescent="0.25">
      <c r="A46" s="11">
        <f t="shared" si="3"/>
        <v>30004</v>
      </c>
      <c r="B46" s="11">
        <v>1</v>
      </c>
      <c r="C46" s="26" t="s">
        <v>86</v>
      </c>
      <c r="D46" s="11">
        <f t="shared" si="2"/>
        <v>4</v>
      </c>
      <c r="E46" s="13">
        <v>2.5</v>
      </c>
      <c r="F46" s="13" t="s">
        <v>86</v>
      </c>
      <c r="G46" s="13"/>
      <c r="H46" s="13">
        <v>3000</v>
      </c>
      <c r="I46" s="13">
        <f t="shared" si="4"/>
        <v>4</v>
      </c>
      <c r="J46" s="13">
        <v>0</v>
      </c>
    </row>
    <row r="47" spans="1:10" x14ac:dyDescent="0.25">
      <c r="A47" s="11">
        <f t="shared" si="3"/>
        <v>30005</v>
      </c>
      <c r="B47" s="11">
        <v>1</v>
      </c>
      <c r="C47" s="26" t="s">
        <v>86</v>
      </c>
      <c r="D47" s="11">
        <f t="shared" si="2"/>
        <v>5</v>
      </c>
      <c r="E47" s="13">
        <v>3.2</v>
      </c>
      <c r="F47" s="13" t="s">
        <v>86</v>
      </c>
      <c r="G47" s="13"/>
      <c r="H47" s="13">
        <v>3000</v>
      </c>
      <c r="I47" s="13">
        <f t="shared" si="4"/>
        <v>5</v>
      </c>
      <c r="J47" s="13">
        <v>0</v>
      </c>
    </row>
    <row r="48" spans="1:10" x14ac:dyDescent="0.25">
      <c r="A48" s="11">
        <f t="shared" si="3"/>
        <v>30006</v>
      </c>
      <c r="B48" s="11">
        <v>1</v>
      </c>
      <c r="C48" s="26" t="s">
        <v>86</v>
      </c>
      <c r="D48" s="11">
        <f t="shared" si="2"/>
        <v>6</v>
      </c>
      <c r="E48" s="13">
        <v>4.3</v>
      </c>
      <c r="F48" s="13" t="s">
        <v>86</v>
      </c>
      <c r="G48" s="13"/>
      <c r="H48" s="13">
        <v>3000</v>
      </c>
      <c r="I48" s="13">
        <f t="shared" si="4"/>
        <v>6</v>
      </c>
      <c r="J48" s="13">
        <v>0</v>
      </c>
    </row>
    <row r="49" spans="1:10" x14ac:dyDescent="0.25">
      <c r="A49" s="11">
        <f t="shared" si="3"/>
        <v>30007</v>
      </c>
      <c r="B49" s="11">
        <v>1</v>
      </c>
      <c r="C49" s="26" t="s">
        <v>86</v>
      </c>
      <c r="D49" s="11">
        <f t="shared" si="2"/>
        <v>7</v>
      </c>
      <c r="E49" s="13">
        <v>6</v>
      </c>
      <c r="F49" s="13" t="s">
        <v>86</v>
      </c>
      <c r="G49" s="13"/>
      <c r="H49" s="13">
        <v>3000</v>
      </c>
      <c r="I49" s="13">
        <f t="shared" si="4"/>
        <v>7</v>
      </c>
      <c r="J49" s="13">
        <v>0</v>
      </c>
    </row>
    <row r="50" spans="1:10" x14ac:dyDescent="0.25">
      <c r="A50" s="11">
        <f t="shared" si="3"/>
        <v>30008</v>
      </c>
      <c r="B50" s="11">
        <v>1</v>
      </c>
      <c r="C50" s="26" t="s">
        <v>86</v>
      </c>
      <c r="D50" s="11">
        <f t="shared" si="2"/>
        <v>8</v>
      </c>
      <c r="E50" s="13">
        <v>8.5</v>
      </c>
      <c r="F50" s="13" t="s">
        <v>86</v>
      </c>
      <c r="G50" s="13"/>
      <c r="H50" s="13">
        <v>3000</v>
      </c>
      <c r="I50" s="13">
        <f t="shared" si="4"/>
        <v>8</v>
      </c>
      <c r="J50" s="13">
        <v>0</v>
      </c>
    </row>
    <row r="51" spans="1:10" x14ac:dyDescent="0.25">
      <c r="A51" s="11">
        <f t="shared" si="3"/>
        <v>30009</v>
      </c>
      <c r="B51" s="11">
        <v>1</v>
      </c>
      <c r="C51" s="26" t="s">
        <v>86</v>
      </c>
      <c r="D51" s="11">
        <f t="shared" si="2"/>
        <v>9</v>
      </c>
      <c r="E51" s="13">
        <v>12.2</v>
      </c>
      <c r="F51" s="13" t="s">
        <v>86</v>
      </c>
      <c r="G51" s="13"/>
      <c r="H51" s="13">
        <v>3000</v>
      </c>
      <c r="I51" s="13">
        <f t="shared" si="4"/>
        <v>9</v>
      </c>
      <c r="J51" s="13">
        <v>0</v>
      </c>
    </row>
    <row r="52" spans="1:10" x14ac:dyDescent="0.25">
      <c r="A52" s="11">
        <f t="shared" si="3"/>
        <v>30010</v>
      </c>
      <c r="B52" s="11">
        <v>1</v>
      </c>
      <c r="C52" s="26" t="s">
        <v>86</v>
      </c>
      <c r="D52" s="11">
        <f t="shared" si="2"/>
        <v>10</v>
      </c>
      <c r="E52" s="13">
        <v>17.8</v>
      </c>
      <c r="F52" s="13" t="s">
        <v>86</v>
      </c>
      <c r="G52" s="13"/>
      <c r="H52" s="13">
        <v>3000</v>
      </c>
      <c r="I52" s="13">
        <f t="shared" si="4"/>
        <v>10</v>
      </c>
      <c r="J52" s="13">
        <v>0</v>
      </c>
    </row>
    <row r="53" spans="1:10" x14ac:dyDescent="0.25">
      <c r="A53" s="27">
        <f t="shared" si="3"/>
        <v>40001</v>
      </c>
      <c r="B53" s="27">
        <v>1</v>
      </c>
      <c r="C53" s="28" t="s">
        <v>87</v>
      </c>
      <c r="D53" s="27">
        <f t="shared" si="2"/>
        <v>1</v>
      </c>
      <c r="E53" s="29">
        <v>2</v>
      </c>
      <c r="F53" s="29" t="s">
        <v>87</v>
      </c>
      <c r="G53" s="29"/>
      <c r="H53" s="29">
        <v>4000</v>
      </c>
      <c r="I53" s="29">
        <f t="shared" si="4"/>
        <v>1</v>
      </c>
      <c r="J53" s="29">
        <v>0</v>
      </c>
    </row>
    <row r="54" spans="1:10" x14ac:dyDescent="0.25">
      <c r="A54" s="27">
        <f t="shared" si="3"/>
        <v>40002</v>
      </c>
      <c r="B54" s="27">
        <v>1</v>
      </c>
      <c r="C54" s="28" t="s">
        <v>87</v>
      </c>
      <c r="D54" s="27">
        <f t="shared" si="2"/>
        <v>2</v>
      </c>
      <c r="E54" s="29">
        <v>2</v>
      </c>
      <c r="F54" s="29" t="s">
        <v>87</v>
      </c>
      <c r="G54" s="29"/>
      <c r="H54" s="29">
        <v>4000</v>
      </c>
      <c r="I54" s="29">
        <f t="shared" si="4"/>
        <v>2</v>
      </c>
      <c r="J54" s="29">
        <v>0</v>
      </c>
    </row>
    <row r="55" spans="1:10" x14ac:dyDescent="0.25">
      <c r="A55" s="27">
        <f t="shared" si="3"/>
        <v>40003</v>
      </c>
      <c r="B55" s="27">
        <v>1</v>
      </c>
      <c r="C55" s="28" t="s">
        <v>87</v>
      </c>
      <c r="D55" s="27">
        <f t="shared" si="2"/>
        <v>3</v>
      </c>
      <c r="E55" s="29">
        <v>2</v>
      </c>
      <c r="F55" s="29" t="s">
        <v>87</v>
      </c>
      <c r="G55" s="29"/>
      <c r="H55" s="29">
        <v>4000</v>
      </c>
      <c r="I55" s="29">
        <f t="shared" si="4"/>
        <v>3</v>
      </c>
      <c r="J55" s="29">
        <v>0</v>
      </c>
    </row>
    <row r="56" spans="1:10" x14ac:dyDescent="0.25">
      <c r="A56" s="27">
        <f t="shared" si="3"/>
        <v>40004</v>
      </c>
      <c r="B56" s="27">
        <v>1</v>
      </c>
      <c r="C56" s="28" t="s">
        <v>87</v>
      </c>
      <c r="D56" s="27">
        <f t="shared" si="2"/>
        <v>4</v>
      </c>
      <c r="E56" s="29">
        <v>2.5</v>
      </c>
      <c r="F56" s="29" t="s">
        <v>87</v>
      </c>
      <c r="G56" s="29"/>
      <c r="H56" s="29">
        <v>4000</v>
      </c>
      <c r="I56" s="29">
        <f t="shared" si="4"/>
        <v>4</v>
      </c>
      <c r="J56" s="29">
        <v>0</v>
      </c>
    </row>
    <row r="57" spans="1:10" x14ac:dyDescent="0.25">
      <c r="A57" s="27">
        <f t="shared" si="3"/>
        <v>40005</v>
      </c>
      <c r="B57" s="27">
        <v>1</v>
      </c>
      <c r="C57" s="28" t="s">
        <v>87</v>
      </c>
      <c r="D57" s="27">
        <f t="shared" si="2"/>
        <v>5</v>
      </c>
      <c r="E57" s="29">
        <v>3.2</v>
      </c>
      <c r="F57" s="29" t="s">
        <v>87</v>
      </c>
      <c r="G57" s="29"/>
      <c r="H57" s="29">
        <v>4000</v>
      </c>
      <c r="I57" s="29">
        <f t="shared" si="4"/>
        <v>5</v>
      </c>
      <c r="J57" s="29">
        <v>0</v>
      </c>
    </row>
    <row r="58" spans="1:10" x14ac:dyDescent="0.25">
      <c r="A58" s="27">
        <f t="shared" si="3"/>
        <v>40006</v>
      </c>
      <c r="B58" s="27">
        <v>1</v>
      </c>
      <c r="C58" s="28" t="s">
        <v>87</v>
      </c>
      <c r="D58" s="27">
        <f t="shared" si="2"/>
        <v>6</v>
      </c>
      <c r="E58" s="29">
        <v>4.3</v>
      </c>
      <c r="F58" s="29" t="s">
        <v>87</v>
      </c>
      <c r="G58" s="29"/>
      <c r="H58" s="29">
        <v>4000</v>
      </c>
      <c r="I58" s="29">
        <f t="shared" si="4"/>
        <v>6</v>
      </c>
      <c r="J58" s="29">
        <v>0</v>
      </c>
    </row>
    <row r="59" spans="1:10" x14ac:dyDescent="0.25">
      <c r="A59" s="27">
        <f t="shared" si="3"/>
        <v>40007</v>
      </c>
      <c r="B59" s="27">
        <v>1</v>
      </c>
      <c r="C59" s="28" t="s">
        <v>87</v>
      </c>
      <c r="D59" s="27">
        <f t="shared" si="2"/>
        <v>7</v>
      </c>
      <c r="E59" s="29">
        <v>6</v>
      </c>
      <c r="F59" s="29" t="s">
        <v>87</v>
      </c>
      <c r="G59" s="29"/>
      <c r="H59" s="29">
        <v>4000</v>
      </c>
      <c r="I59" s="29">
        <f t="shared" si="4"/>
        <v>7</v>
      </c>
      <c r="J59" s="29">
        <v>0</v>
      </c>
    </row>
    <row r="60" spans="1:10" x14ac:dyDescent="0.25">
      <c r="A60" s="27">
        <f t="shared" si="3"/>
        <v>40008</v>
      </c>
      <c r="B60" s="27">
        <v>1</v>
      </c>
      <c r="C60" s="28" t="s">
        <v>87</v>
      </c>
      <c r="D60" s="27">
        <f t="shared" si="2"/>
        <v>8</v>
      </c>
      <c r="E60" s="29">
        <v>8.5</v>
      </c>
      <c r="F60" s="29" t="s">
        <v>87</v>
      </c>
      <c r="G60" s="29"/>
      <c r="H60" s="29">
        <v>4000</v>
      </c>
      <c r="I60" s="29">
        <f t="shared" si="4"/>
        <v>8</v>
      </c>
      <c r="J60" s="29">
        <v>0</v>
      </c>
    </row>
    <row r="61" spans="1:10" x14ac:dyDescent="0.25">
      <c r="A61" s="27">
        <f t="shared" si="3"/>
        <v>40009</v>
      </c>
      <c r="B61" s="27">
        <v>1</v>
      </c>
      <c r="C61" s="28" t="s">
        <v>87</v>
      </c>
      <c r="D61" s="27">
        <f t="shared" si="2"/>
        <v>9</v>
      </c>
      <c r="E61" s="29">
        <v>12.2</v>
      </c>
      <c r="F61" s="29" t="s">
        <v>87</v>
      </c>
      <c r="G61" s="29"/>
      <c r="H61" s="29">
        <v>4000</v>
      </c>
      <c r="I61" s="29">
        <f t="shared" si="4"/>
        <v>9</v>
      </c>
      <c r="J61" s="29">
        <v>0</v>
      </c>
    </row>
    <row r="62" spans="1:10" x14ac:dyDescent="0.25">
      <c r="A62" s="27">
        <f t="shared" si="3"/>
        <v>40010</v>
      </c>
      <c r="B62" s="27">
        <v>1</v>
      </c>
      <c r="C62" s="28" t="s">
        <v>87</v>
      </c>
      <c r="D62" s="27">
        <f t="shared" si="2"/>
        <v>10</v>
      </c>
      <c r="E62" s="29">
        <v>17.8</v>
      </c>
      <c r="F62" s="29" t="s">
        <v>87</v>
      </c>
      <c r="G62" s="29"/>
      <c r="H62" s="29">
        <v>4000</v>
      </c>
      <c r="I62" s="29">
        <f t="shared" si="4"/>
        <v>10</v>
      </c>
      <c r="J62" s="29">
        <v>0</v>
      </c>
    </row>
    <row r="63" spans="1:10" x14ac:dyDescent="0.25">
      <c r="A63" s="11">
        <f t="shared" si="3"/>
        <v>40011</v>
      </c>
      <c r="B63" s="11">
        <v>1</v>
      </c>
      <c r="C63" s="12" t="s">
        <v>88</v>
      </c>
      <c r="D63" s="11">
        <f t="shared" si="2"/>
        <v>1</v>
      </c>
      <c r="E63" s="13">
        <v>3</v>
      </c>
      <c r="F63" s="13" t="s">
        <v>88</v>
      </c>
      <c r="G63" s="13"/>
      <c r="H63" s="13">
        <v>4001</v>
      </c>
      <c r="I63" s="13">
        <f t="shared" si="4"/>
        <v>1</v>
      </c>
      <c r="J63" s="13">
        <v>0</v>
      </c>
    </row>
    <row r="64" spans="1:10" x14ac:dyDescent="0.25">
      <c r="A64" s="11">
        <f t="shared" si="3"/>
        <v>40012</v>
      </c>
      <c r="B64" s="11">
        <v>1</v>
      </c>
      <c r="C64" s="12" t="s">
        <v>88</v>
      </c>
      <c r="D64" s="11">
        <f t="shared" si="2"/>
        <v>2</v>
      </c>
      <c r="E64" s="13">
        <v>3</v>
      </c>
      <c r="F64" s="13" t="s">
        <v>88</v>
      </c>
      <c r="G64" s="13"/>
      <c r="H64" s="13">
        <v>4001</v>
      </c>
      <c r="I64" s="13">
        <f t="shared" si="4"/>
        <v>2</v>
      </c>
      <c r="J64" s="13">
        <v>0</v>
      </c>
    </row>
    <row r="65" spans="1:10" x14ac:dyDescent="0.25">
      <c r="A65" s="11">
        <f t="shared" si="3"/>
        <v>40013</v>
      </c>
      <c r="B65" s="11">
        <v>1</v>
      </c>
      <c r="C65" s="12" t="s">
        <v>88</v>
      </c>
      <c r="D65" s="11">
        <f t="shared" si="2"/>
        <v>3</v>
      </c>
      <c r="E65" s="13">
        <v>3</v>
      </c>
      <c r="F65" s="13" t="s">
        <v>88</v>
      </c>
      <c r="G65" s="13"/>
      <c r="H65" s="13">
        <v>4001</v>
      </c>
      <c r="I65" s="13">
        <f t="shared" si="4"/>
        <v>3</v>
      </c>
      <c r="J65" s="13">
        <v>0</v>
      </c>
    </row>
    <row r="66" spans="1:10" x14ac:dyDescent="0.25">
      <c r="A66" s="11">
        <f t="shared" si="3"/>
        <v>40014</v>
      </c>
      <c r="B66" s="11">
        <v>1</v>
      </c>
      <c r="C66" s="12" t="s">
        <v>88</v>
      </c>
      <c r="D66" s="11">
        <f t="shared" si="2"/>
        <v>4</v>
      </c>
      <c r="E66" s="13">
        <v>3.5</v>
      </c>
      <c r="F66" s="13" t="s">
        <v>88</v>
      </c>
      <c r="G66" s="13"/>
      <c r="H66" s="13">
        <v>4001</v>
      </c>
      <c r="I66" s="13">
        <f t="shared" si="4"/>
        <v>4</v>
      </c>
      <c r="J66" s="13">
        <v>0</v>
      </c>
    </row>
    <row r="67" spans="1:10" x14ac:dyDescent="0.25">
      <c r="A67" s="11">
        <f t="shared" si="3"/>
        <v>40015</v>
      </c>
      <c r="B67" s="11">
        <v>1</v>
      </c>
      <c r="C67" s="12" t="s">
        <v>88</v>
      </c>
      <c r="D67" s="11">
        <f t="shared" si="2"/>
        <v>5</v>
      </c>
      <c r="E67" s="13">
        <v>4.2</v>
      </c>
      <c r="F67" s="13" t="s">
        <v>88</v>
      </c>
      <c r="G67" s="13"/>
      <c r="H67" s="13">
        <v>4001</v>
      </c>
      <c r="I67" s="13">
        <f t="shared" si="4"/>
        <v>5</v>
      </c>
      <c r="J67" s="13">
        <v>0</v>
      </c>
    </row>
    <row r="68" spans="1:10" x14ac:dyDescent="0.25">
      <c r="A68" s="11">
        <f t="shared" ref="A68:A131" si="5">H68*10+I68</f>
        <v>40016</v>
      </c>
      <c r="B68" s="11">
        <v>1</v>
      </c>
      <c r="C68" s="12" t="s">
        <v>88</v>
      </c>
      <c r="D68" s="11">
        <f t="shared" si="2"/>
        <v>6</v>
      </c>
      <c r="E68" s="13">
        <v>5.3</v>
      </c>
      <c r="F68" s="13" t="s">
        <v>88</v>
      </c>
      <c r="G68" s="13"/>
      <c r="H68" s="13">
        <v>4001</v>
      </c>
      <c r="I68" s="13">
        <f t="shared" si="4"/>
        <v>6</v>
      </c>
      <c r="J68" s="13">
        <v>0</v>
      </c>
    </row>
    <row r="69" spans="1:10" x14ac:dyDescent="0.25">
      <c r="A69" s="11">
        <f t="shared" si="5"/>
        <v>40017</v>
      </c>
      <c r="B69" s="11">
        <v>1</v>
      </c>
      <c r="C69" s="12" t="s">
        <v>88</v>
      </c>
      <c r="D69" s="11">
        <f t="shared" si="2"/>
        <v>7</v>
      </c>
      <c r="E69" s="13">
        <v>7</v>
      </c>
      <c r="F69" s="13" t="s">
        <v>88</v>
      </c>
      <c r="G69" s="13"/>
      <c r="H69" s="13">
        <v>4001</v>
      </c>
      <c r="I69" s="13">
        <f t="shared" si="4"/>
        <v>7</v>
      </c>
      <c r="J69" s="13">
        <v>0</v>
      </c>
    </row>
    <row r="70" spans="1:10" x14ac:dyDescent="0.25">
      <c r="A70" s="11">
        <f t="shared" si="5"/>
        <v>40018</v>
      </c>
      <c r="B70" s="11">
        <v>1</v>
      </c>
      <c r="C70" s="12" t="s">
        <v>88</v>
      </c>
      <c r="D70" s="11">
        <f t="shared" si="2"/>
        <v>8</v>
      </c>
      <c r="E70" s="13">
        <v>9.5</v>
      </c>
      <c r="F70" s="13" t="s">
        <v>88</v>
      </c>
      <c r="G70" s="13"/>
      <c r="H70" s="13">
        <v>4001</v>
      </c>
      <c r="I70" s="13">
        <f t="shared" si="4"/>
        <v>8</v>
      </c>
      <c r="J70" s="13">
        <v>0</v>
      </c>
    </row>
    <row r="71" spans="1:10" x14ac:dyDescent="0.25">
      <c r="A71" s="11">
        <f t="shared" si="5"/>
        <v>40019</v>
      </c>
      <c r="B71" s="11">
        <v>1</v>
      </c>
      <c r="C71" s="12" t="s">
        <v>88</v>
      </c>
      <c r="D71" s="11">
        <f t="shared" si="2"/>
        <v>9</v>
      </c>
      <c r="E71" s="13">
        <v>13.2</v>
      </c>
      <c r="F71" s="13" t="s">
        <v>88</v>
      </c>
      <c r="G71" s="13"/>
      <c r="H71" s="13">
        <v>4001</v>
      </c>
      <c r="I71" s="13">
        <f t="shared" si="4"/>
        <v>9</v>
      </c>
      <c r="J71" s="13">
        <v>0</v>
      </c>
    </row>
    <row r="72" spans="1:10" x14ac:dyDescent="0.25">
      <c r="A72" s="11">
        <f t="shared" si="5"/>
        <v>40020</v>
      </c>
      <c r="B72" s="11">
        <v>1</v>
      </c>
      <c r="C72" s="12" t="s">
        <v>88</v>
      </c>
      <c r="D72" s="11">
        <f t="shared" si="2"/>
        <v>10</v>
      </c>
      <c r="E72" s="13">
        <v>18.8</v>
      </c>
      <c r="F72" s="13" t="s">
        <v>88</v>
      </c>
      <c r="G72" s="13"/>
      <c r="H72" s="13">
        <v>4001</v>
      </c>
      <c r="I72" s="13">
        <f t="shared" si="4"/>
        <v>10</v>
      </c>
      <c r="J72" s="13">
        <v>0</v>
      </c>
    </row>
    <row r="73" spans="1:10" x14ac:dyDescent="0.25">
      <c r="A73" s="30">
        <f t="shared" si="5"/>
        <v>50001</v>
      </c>
      <c r="B73" s="30">
        <v>1</v>
      </c>
      <c r="C73" s="31" t="s">
        <v>89</v>
      </c>
      <c r="D73" s="30">
        <f t="shared" si="2"/>
        <v>1</v>
      </c>
      <c r="E73" s="32">
        <v>2</v>
      </c>
      <c r="F73" s="32" t="s">
        <v>89</v>
      </c>
      <c r="G73" s="32"/>
      <c r="H73" s="32">
        <v>5000</v>
      </c>
      <c r="I73" s="32">
        <f t="shared" si="4"/>
        <v>1</v>
      </c>
      <c r="J73" s="32">
        <v>0</v>
      </c>
    </row>
    <row r="74" spans="1:10" x14ac:dyDescent="0.25">
      <c r="A74" s="30">
        <f t="shared" si="5"/>
        <v>50002</v>
      </c>
      <c r="B74" s="30">
        <v>1</v>
      </c>
      <c r="C74" s="31" t="s">
        <v>89</v>
      </c>
      <c r="D74" s="30">
        <f t="shared" si="2"/>
        <v>2</v>
      </c>
      <c r="E74" s="32">
        <v>2</v>
      </c>
      <c r="F74" s="32" t="s">
        <v>89</v>
      </c>
      <c r="G74" s="32"/>
      <c r="H74" s="32">
        <v>5000</v>
      </c>
      <c r="I74" s="32">
        <f t="shared" si="4"/>
        <v>2</v>
      </c>
      <c r="J74" s="32">
        <v>0</v>
      </c>
    </row>
    <row r="75" spans="1:10" x14ac:dyDescent="0.25">
      <c r="A75" s="30">
        <f t="shared" si="5"/>
        <v>50003</v>
      </c>
      <c r="B75" s="30">
        <v>1</v>
      </c>
      <c r="C75" s="31" t="s">
        <v>89</v>
      </c>
      <c r="D75" s="30">
        <f t="shared" si="2"/>
        <v>3</v>
      </c>
      <c r="E75" s="32">
        <v>2</v>
      </c>
      <c r="F75" s="32" t="s">
        <v>89</v>
      </c>
      <c r="G75" s="32"/>
      <c r="H75" s="32">
        <v>5000</v>
      </c>
      <c r="I75" s="32">
        <f t="shared" si="4"/>
        <v>3</v>
      </c>
      <c r="J75" s="32">
        <v>0</v>
      </c>
    </row>
    <row r="76" spans="1:10" x14ac:dyDescent="0.25">
      <c r="A76" s="30">
        <f t="shared" si="5"/>
        <v>50004</v>
      </c>
      <c r="B76" s="30">
        <v>1</v>
      </c>
      <c r="C76" s="31" t="s">
        <v>89</v>
      </c>
      <c r="D76" s="30">
        <f t="shared" si="2"/>
        <v>4</v>
      </c>
      <c r="E76" s="32">
        <v>2.5</v>
      </c>
      <c r="F76" s="32" t="s">
        <v>89</v>
      </c>
      <c r="G76" s="32"/>
      <c r="H76" s="32">
        <v>5000</v>
      </c>
      <c r="I76" s="32">
        <f t="shared" si="4"/>
        <v>4</v>
      </c>
      <c r="J76" s="32">
        <v>0</v>
      </c>
    </row>
    <row r="77" spans="1:10" x14ac:dyDescent="0.25">
      <c r="A77" s="30">
        <f t="shared" si="5"/>
        <v>50005</v>
      </c>
      <c r="B77" s="30">
        <v>1</v>
      </c>
      <c r="C77" s="31" t="s">
        <v>89</v>
      </c>
      <c r="D77" s="30">
        <f t="shared" si="2"/>
        <v>5</v>
      </c>
      <c r="E77" s="32">
        <v>3.2</v>
      </c>
      <c r="F77" s="32" t="s">
        <v>89</v>
      </c>
      <c r="G77" s="32"/>
      <c r="H77" s="32">
        <v>5000</v>
      </c>
      <c r="I77" s="32">
        <f t="shared" si="4"/>
        <v>5</v>
      </c>
      <c r="J77" s="32">
        <v>0</v>
      </c>
    </row>
    <row r="78" spans="1:10" x14ac:dyDescent="0.25">
      <c r="A78" s="30">
        <f t="shared" si="5"/>
        <v>50006</v>
      </c>
      <c r="B78" s="30">
        <v>1</v>
      </c>
      <c r="C78" s="31" t="s">
        <v>89</v>
      </c>
      <c r="D78" s="30">
        <f t="shared" si="2"/>
        <v>6</v>
      </c>
      <c r="E78" s="32">
        <v>4.3</v>
      </c>
      <c r="F78" s="32" t="s">
        <v>89</v>
      </c>
      <c r="G78" s="32"/>
      <c r="H78" s="32">
        <v>5000</v>
      </c>
      <c r="I78" s="32">
        <f t="shared" ref="I78:I143" si="6">I68</f>
        <v>6</v>
      </c>
      <c r="J78" s="32">
        <v>0</v>
      </c>
    </row>
    <row r="79" spans="1:10" x14ac:dyDescent="0.25">
      <c r="A79" s="30">
        <f t="shared" si="5"/>
        <v>50007</v>
      </c>
      <c r="B79" s="30">
        <v>1</v>
      </c>
      <c r="C79" s="31" t="s">
        <v>89</v>
      </c>
      <c r="D79" s="30">
        <f t="shared" si="2"/>
        <v>7</v>
      </c>
      <c r="E79" s="32">
        <v>6</v>
      </c>
      <c r="F79" s="32" t="s">
        <v>89</v>
      </c>
      <c r="G79" s="32"/>
      <c r="H79" s="32">
        <v>5000</v>
      </c>
      <c r="I79" s="32">
        <f t="shared" si="6"/>
        <v>7</v>
      </c>
      <c r="J79" s="32">
        <v>0</v>
      </c>
    </row>
    <row r="80" spans="1:10" x14ac:dyDescent="0.25">
      <c r="A80" s="30">
        <f t="shared" si="5"/>
        <v>50008</v>
      </c>
      <c r="B80" s="30">
        <v>1</v>
      </c>
      <c r="C80" s="31" t="s">
        <v>89</v>
      </c>
      <c r="D80" s="30">
        <f t="shared" si="2"/>
        <v>8</v>
      </c>
      <c r="E80" s="32">
        <v>8.5</v>
      </c>
      <c r="F80" s="32" t="s">
        <v>89</v>
      </c>
      <c r="G80" s="32"/>
      <c r="H80" s="32">
        <v>5000</v>
      </c>
      <c r="I80" s="32">
        <f t="shared" si="6"/>
        <v>8</v>
      </c>
      <c r="J80" s="32">
        <v>0</v>
      </c>
    </row>
    <row r="81" spans="1:10" x14ac:dyDescent="0.25">
      <c r="A81" s="30">
        <f t="shared" si="5"/>
        <v>50009</v>
      </c>
      <c r="B81" s="30">
        <v>1</v>
      </c>
      <c r="C81" s="31" t="s">
        <v>89</v>
      </c>
      <c r="D81" s="30">
        <f t="shared" si="2"/>
        <v>9</v>
      </c>
      <c r="E81" s="32">
        <v>12.2</v>
      </c>
      <c r="F81" s="32" t="s">
        <v>89</v>
      </c>
      <c r="G81" s="32"/>
      <c r="H81" s="32">
        <v>5000</v>
      </c>
      <c r="I81" s="32">
        <f t="shared" si="6"/>
        <v>9</v>
      </c>
      <c r="J81" s="32">
        <v>0</v>
      </c>
    </row>
    <row r="82" spans="1:10" x14ac:dyDescent="0.25">
      <c r="A82" s="30">
        <f t="shared" si="5"/>
        <v>50010</v>
      </c>
      <c r="B82" s="30">
        <v>1</v>
      </c>
      <c r="C82" s="31" t="s">
        <v>89</v>
      </c>
      <c r="D82" s="30">
        <f t="shared" si="2"/>
        <v>10</v>
      </c>
      <c r="E82" s="32">
        <v>17.8</v>
      </c>
      <c r="F82" s="32" t="s">
        <v>89</v>
      </c>
      <c r="G82" s="32"/>
      <c r="H82" s="32">
        <v>5000</v>
      </c>
      <c r="I82" s="32">
        <f t="shared" si="6"/>
        <v>10</v>
      </c>
      <c r="J82" s="32">
        <v>0</v>
      </c>
    </row>
    <row r="83" spans="1:10" x14ac:dyDescent="0.25">
      <c r="A83" s="33">
        <f t="shared" si="5"/>
        <v>60001</v>
      </c>
      <c r="B83" s="33">
        <v>1</v>
      </c>
      <c r="C83" s="34" t="s">
        <v>90</v>
      </c>
      <c r="D83" s="33">
        <f t="shared" si="2"/>
        <v>1</v>
      </c>
      <c r="E83" s="35">
        <v>2</v>
      </c>
      <c r="F83" s="35" t="s">
        <v>90</v>
      </c>
      <c r="G83" s="35"/>
      <c r="H83" s="35">
        <v>6000</v>
      </c>
      <c r="I83" s="35">
        <f t="shared" si="6"/>
        <v>1</v>
      </c>
      <c r="J83" s="35">
        <v>0</v>
      </c>
    </row>
    <row r="84" spans="1:10" x14ac:dyDescent="0.25">
      <c r="A84" s="33">
        <f t="shared" si="5"/>
        <v>60002</v>
      </c>
      <c r="B84" s="33">
        <v>1</v>
      </c>
      <c r="C84" s="34" t="s">
        <v>90</v>
      </c>
      <c r="D84" s="33">
        <f t="shared" si="2"/>
        <v>2</v>
      </c>
      <c r="E84" s="35">
        <v>2</v>
      </c>
      <c r="F84" s="35" t="s">
        <v>90</v>
      </c>
      <c r="G84" s="35"/>
      <c r="H84" s="35">
        <v>6000</v>
      </c>
      <c r="I84" s="35">
        <f t="shared" si="6"/>
        <v>2</v>
      </c>
      <c r="J84" s="35">
        <v>0</v>
      </c>
    </row>
    <row r="85" spans="1:10" x14ac:dyDescent="0.25">
      <c r="A85" s="33">
        <f t="shared" si="5"/>
        <v>60003</v>
      </c>
      <c r="B85" s="33">
        <v>1</v>
      </c>
      <c r="C85" s="34" t="s">
        <v>90</v>
      </c>
      <c r="D85" s="33">
        <f t="shared" si="2"/>
        <v>3</v>
      </c>
      <c r="E85" s="35">
        <v>2</v>
      </c>
      <c r="F85" s="35" t="s">
        <v>90</v>
      </c>
      <c r="G85" s="35"/>
      <c r="H85" s="35">
        <v>6000</v>
      </c>
      <c r="I85" s="35">
        <f t="shared" si="6"/>
        <v>3</v>
      </c>
      <c r="J85" s="35">
        <v>0</v>
      </c>
    </row>
    <row r="86" spans="1:10" x14ac:dyDescent="0.25">
      <c r="A86" s="33">
        <f t="shared" si="5"/>
        <v>60004</v>
      </c>
      <c r="B86" s="33">
        <v>1</v>
      </c>
      <c r="C86" s="34" t="s">
        <v>90</v>
      </c>
      <c r="D86" s="33">
        <f t="shared" si="2"/>
        <v>4</v>
      </c>
      <c r="E86" s="35">
        <v>2.5</v>
      </c>
      <c r="F86" s="35" t="s">
        <v>90</v>
      </c>
      <c r="G86" s="35"/>
      <c r="H86" s="35">
        <v>6000</v>
      </c>
      <c r="I86" s="35">
        <f t="shared" si="6"/>
        <v>4</v>
      </c>
      <c r="J86" s="35">
        <v>0</v>
      </c>
    </row>
    <row r="87" spans="1:10" x14ac:dyDescent="0.25">
      <c r="A87" s="33">
        <f t="shared" si="5"/>
        <v>60005</v>
      </c>
      <c r="B87" s="33">
        <v>1</v>
      </c>
      <c r="C87" s="34" t="s">
        <v>90</v>
      </c>
      <c r="D87" s="33">
        <f t="shared" si="2"/>
        <v>5</v>
      </c>
      <c r="E87" s="35">
        <v>3.2</v>
      </c>
      <c r="F87" s="35" t="s">
        <v>90</v>
      </c>
      <c r="G87" s="35"/>
      <c r="H87" s="35">
        <v>6000</v>
      </c>
      <c r="I87" s="35">
        <f t="shared" si="6"/>
        <v>5</v>
      </c>
      <c r="J87" s="35">
        <v>0</v>
      </c>
    </row>
    <row r="88" spans="1:10" x14ac:dyDescent="0.25">
      <c r="A88" s="33">
        <f t="shared" si="5"/>
        <v>60006</v>
      </c>
      <c r="B88" s="33">
        <v>1</v>
      </c>
      <c r="C88" s="34" t="s">
        <v>90</v>
      </c>
      <c r="D88" s="33">
        <f t="shared" ref="D88:D151" si="7">D78</f>
        <v>6</v>
      </c>
      <c r="E88" s="35">
        <v>4.3</v>
      </c>
      <c r="F88" s="35" t="s">
        <v>90</v>
      </c>
      <c r="G88" s="35"/>
      <c r="H88" s="35">
        <v>6000</v>
      </c>
      <c r="I88" s="35">
        <f t="shared" si="6"/>
        <v>6</v>
      </c>
      <c r="J88" s="35">
        <v>0</v>
      </c>
    </row>
    <row r="89" spans="1:10" x14ac:dyDescent="0.25">
      <c r="A89" s="33">
        <f t="shared" si="5"/>
        <v>60007</v>
      </c>
      <c r="B89" s="33">
        <v>1</v>
      </c>
      <c r="C89" s="34" t="s">
        <v>90</v>
      </c>
      <c r="D89" s="33">
        <f t="shared" si="7"/>
        <v>7</v>
      </c>
      <c r="E89" s="35">
        <v>6</v>
      </c>
      <c r="F89" s="35" t="s">
        <v>90</v>
      </c>
      <c r="G89" s="35"/>
      <c r="H89" s="35">
        <v>6000</v>
      </c>
      <c r="I89" s="35">
        <f t="shared" si="6"/>
        <v>7</v>
      </c>
      <c r="J89" s="35">
        <v>0</v>
      </c>
    </row>
    <row r="90" spans="1:10" x14ac:dyDescent="0.25">
      <c r="A90" s="33">
        <f t="shared" si="5"/>
        <v>60008</v>
      </c>
      <c r="B90" s="33">
        <v>1</v>
      </c>
      <c r="C90" s="34" t="s">
        <v>90</v>
      </c>
      <c r="D90" s="33">
        <f t="shared" si="7"/>
        <v>8</v>
      </c>
      <c r="E90" s="35">
        <v>8.5</v>
      </c>
      <c r="F90" s="35" t="s">
        <v>90</v>
      </c>
      <c r="G90" s="35"/>
      <c r="H90" s="35">
        <v>6000</v>
      </c>
      <c r="I90" s="35">
        <f t="shared" si="6"/>
        <v>8</v>
      </c>
      <c r="J90" s="35">
        <v>0</v>
      </c>
    </row>
    <row r="91" spans="1:10" x14ac:dyDescent="0.25">
      <c r="A91" s="33">
        <f t="shared" si="5"/>
        <v>60009</v>
      </c>
      <c r="B91" s="33">
        <v>1</v>
      </c>
      <c r="C91" s="34" t="s">
        <v>90</v>
      </c>
      <c r="D91" s="33">
        <f t="shared" si="7"/>
        <v>9</v>
      </c>
      <c r="E91" s="35">
        <v>12.2</v>
      </c>
      <c r="F91" s="35" t="s">
        <v>90</v>
      </c>
      <c r="G91" s="35"/>
      <c r="H91" s="35">
        <v>6000</v>
      </c>
      <c r="I91" s="35">
        <f t="shared" si="6"/>
        <v>9</v>
      </c>
      <c r="J91" s="35">
        <v>0</v>
      </c>
    </row>
    <row r="92" spans="1:10" x14ac:dyDescent="0.25">
      <c r="A92" s="36">
        <f t="shared" si="5"/>
        <v>60010</v>
      </c>
      <c r="B92" s="36">
        <v>1</v>
      </c>
      <c r="C92" s="37" t="s">
        <v>90</v>
      </c>
      <c r="D92" s="36">
        <f t="shared" si="7"/>
        <v>10</v>
      </c>
      <c r="E92" s="38">
        <v>17.8</v>
      </c>
      <c r="F92" s="38" t="s">
        <v>90</v>
      </c>
      <c r="G92" s="38"/>
      <c r="H92" s="38">
        <v>6000</v>
      </c>
      <c r="I92" s="38">
        <f t="shared" si="6"/>
        <v>10</v>
      </c>
      <c r="J92" s="38">
        <v>0</v>
      </c>
    </row>
    <row r="93" spans="1:10" x14ac:dyDescent="0.25">
      <c r="A93" s="23">
        <f t="shared" si="5"/>
        <v>90001</v>
      </c>
      <c r="B93" s="23">
        <v>1</v>
      </c>
      <c r="C93" s="39" t="s">
        <v>91</v>
      </c>
      <c r="D93" s="23">
        <f t="shared" si="7"/>
        <v>1</v>
      </c>
      <c r="E93" s="23">
        <v>2</v>
      </c>
      <c r="F93" s="23" t="s">
        <v>91</v>
      </c>
      <c r="G93" s="23"/>
      <c r="H93" s="23">
        <v>9000</v>
      </c>
      <c r="I93" s="23">
        <f t="shared" si="6"/>
        <v>1</v>
      </c>
      <c r="J93" s="23">
        <v>0</v>
      </c>
    </row>
    <row r="94" spans="1:10" x14ac:dyDescent="0.25">
      <c r="A94" s="23">
        <f t="shared" si="5"/>
        <v>90002</v>
      </c>
      <c r="B94" s="23">
        <v>1</v>
      </c>
      <c r="C94" s="39" t="s">
        <v>91</v>
      </c>
      <c r="D94" s="23">
        <f t="shared" si="7"/>
        <v>2</v>
      </c>
      <c r="E94" s="23">
        <v>2</v>
      </c>
      <c r="F94" s="23" t="s">
        <v>91</v>
      </c>
      <c r="G94" s="23"/>
      <c r="H94" s="23">
        <v>9000</v>
      </c>
      <c r="I94" s="23">
        <f t="shared" si="6"/>
        <v>2</v>
      </c>
      <c r="J94" s="23">
        <v>0</v>
      </c>
    </row>
    <row r="95" spans="1:10" x14ac:dyDescent="0.25">
      <c r="A95" s="23">
        <f t="shared" si="5"/>
        <v>90003</v>
      </c>
      <c r="B95" s="23">
        <v>1</v>
      </c>
      <c r="C95" s="39" t="s">
        <v>91</v>
      </c>
      <c r="D95" s="23">
        <f t="shared" si="7"/>
        <v>3</v>
      </c>
      <c r="E95" s="23">
        <v>2</v>
      </c>
      <c r="F95" s="23" t="s">
        <v>91</v>
      </c>
      <c r="G95" s="23"/>
      <c r="H95" s="23">
        <v>9000</v>
      </c>
      <c r="I95" s="23">
        <f t="shared" si="6"/>
        <v>3</v>
      </c>
      <c r="J95" s="23">
        <v>0</v>
      </c>
    </row>
    <row r="96" spans="1:10" x14ac:dyDescent="0.25">
      <c r="A96" s="23">
        <f t="shared" si="5"/>
        <v>90004</v>
      </c>
      <c r="B96" s="23">
        <v>1</v>
      </c>
      <c r="C96" s="39" t="s">
        <v>91</v>
      </c>
      <c r="D96" s="23">
        <f t="shared" si="7"/>
        <v>4</v>
      </c>
      <c r="E96" s="23">
        <v>2.5</v>
      </c>
      <c r="F96" s="23" t="s">
        <v>91</v>
      </c>
      <c r="G96" s="23"/>
      <c r="H96" s="23">
        <v>9000</v>
      </c>
      <c r="I96" s="23">
        <f t="shared" si="6"/>
        <v>4</v>
      </c>
      <c r="J96" s="23">
        <v>0</v>
      </c>
    </row>
    <row r="97" spans="1:12" x14ac:dyDescent="0.25">
      <c r="A97" s="23">
        <f t="shared" si="5"/>
        <v>90005</v>
      </c>
      <c r="B97" s="23">
        <v>1</v>
      </c>
      <c r="C97" s="39" t="s">
        <v>91</v>
      </c>
      <c r="D97" s="23">
        <f t="shared" si="7"/>
        <v>5</v>
      </c>
      <c r="E97" s="23">
        <v>3.2</v>
      </c>
      <c r="F97" s="23" t="s">
        <v>91</v>
      </c>
      <c r="G97" s="23"/>
      <c r="H97" s="23">
        <v>9000</v>
      </c>
      <c r="I97" s="23">
        <f t="shared" si="6"/>
        <v>5</v>
      </c>
      <c r="J97" s="23">
        <v>0</v>
      </c>
    </row>
    <row r="98" spans="1:12" x14ac:dyDescent="0.25">
      <c r="A98" s="23">
        <f t="shared" si="5"/>
        <v>90006</v>
      </c>
      <c r="B98" s="23">
        <v>1</v>
      </c>
      <c r="C98" s="39" t="s">
        <v>91</v>
      </c>
      <c r="D98" s="23">
        <f t="shared" si="7"/>
        <v>6</v>
      </c>
      <c r="E98" s="23">
        <v>4.3</v>
      </c>
      <c r="F98" s="23" t="s">
        <v>91</v>
      </c>
      <c r="G98" s="23"/>
      <c r="H98" s="23">
        <v>9000</v>
      </c>
      <c r="I98" s="23">
        <f t="shared" si="6"/>
        <v>6</v>
      </c>
      <c r="J98" s="23">
        <v>0</v>
      </c>
    </row>
    <row r="99" spans="1:12" x14ac:dyDescent="0.25">
      <c r="A99" s="23">
        <f t="shared" si="5"/>
        <v>90007</v>
      </c>
      <c r="B99" s="23">
        <v>1</v>
      </c>
      <c r="C99" s="39" t="s">
        <v>91</v>
      </c>
      <c r="D99" s="23">
        <f t="shared" si="7"/>
        <v>7</v>
      </c>
      <c r="E99" s="23">
        <v>6</v>
      </c>
      <c r="F99" s="23" t="s">
        <v>91</v>
      </c>
      <c r="G99" s="23"/>
      <c r="H99" s="23">
        <v>9000</v>
      </c>
      <c r="I99" s="23">
        <f t="shared" si="6"/>
        <v>7</v>
      </c>
      <c r="J99" s="23">
        <v>0</v>
      </c>
    </row>
    <row r="100" spans="1:12" x14ac:dyDescent="0.25">
      <c r="A100" s="23">
        <f t="shared" si="5"/>
        <v>90008</v>
      </c>
      <c r="B100" s="23">
        <v>1</v>
      </c>
      <c r="C100" s="39" t="s">
        <v>91</v>
      </c>
      <c r="D100" s="23">
        <f t="shared" si="7"/>
        <v>8</v>
      </c>
      <c r="E100" s="23">
        <v>8.5</v>
      </c>
      <c r="F100" s="23" t="s">
        <v>91</v>
      </c>
      <c r="G100" s="23"/>
      <c r="H100" s="23">
        <v>9000</v>
      </c>
      <c r="I100" s="23">
        <f t="shared" si="6"/>
        <v>8</v>
      </c>
      <c r="J100" s="23">
        <v>0</v>
      </c>
    </row>
    <row r="101" spans="1:12" x14ac:dyDescent="0.25">
      <c r="A101" s="23">
        <f t="shared" si="5"/>
        <v>90009</v>
      </c>
      <c r="B101" s="23">
        <v>1</v>
      </c>
      <c r="C101" s="39" t="s">
        <v>91</v>
      </c>
      <c r="D101" s="23">
        <f t="shared" si="7"/>
        <v>9</v>
      </c>
      <c r="E101" s="23">
        <v>12.2</v>
      </c>
      <c r="F101" s="23" t="s">
        <v>91</v>
      </c>
      <c r="G101" s="23"/>
      <c r="H101" s="23">
        <v>9000</v>
      </c>
      <c r="I101" s="23">
        <f t="shared" si="6"/>
        <v>9</v>
      </c>
      <c r="J101" s="23">
        <v>0</v>
      </c>
    </row>
    <row r="102" spans="1:12" x14ac:dyDescent="0.25">
      <c r="A102" s="23">
        <f t="shared" si="5"/>
        <v>90010</v>
      </c>
      <c r="B102" s="23">
        <v>1</v>
      </c>
      <c r="C102" s="39" t="s">
        <v>91</v>
      </c>
      <c r="D102" s="23">
        <f t="shared" si="7"/>
        <v>10</v>
      </c>
      <c r="E102" s="23">
        <v>17.8</v>
      </c>
      <c r="F102" s="23" t="s">
        <v>91</v>
      </c>
      <c r="G102" s="23"/>
      <c r="H102" s="23">
        <v>9000</v>
      </c>
      <c r="I102" s="23">
        <f t="shared" si="6"/>
        <v>10</v>
      </c>
      <c r="J102" s="23">
        <v>0</v>
      </c>
    </row>
    <row r="103" spans="1:12" x14ac:dyDescent="0.25">
      <c r="A103" s="30">
        <f t="shared" si="5"/>
        <v>100001</v>
      </c>
      <c r="B103" s="30">
        <v>1</v>
      </c>
      <c r="C103" s="31" t="s">
        <v>92</v>
      </c>
      <c r="D103" s="30">
        <f t="shared" si="7"/>
        <v>1</v>
      </c>
      <c r="E103" s="30">
        <v>2</v>
      </c>
      <c r="F103" s="31" t="s">
        <v>92</v>
      </c>
      <c r="G103" s="40"/>
      <c r="H103" s="40">
        <v>10000</v>
      </c>
      <c r="I103" s="40">
        <f t="shared" si="6"/>
        <v>1</v>
      </c>
      <c r="J103" s="40">
        <v>0</v>
      </c>
      <c r="K103">
        <v>5</v>
      </c>
      <c r="L103">
        <f>E103*K103*3</f>
        <v>30</v>
      </c>
    </row>
    <row r="104" spans="1:12" x14ac:dyDescent="0.25">
      <c r="A104" s="30">
        <f t="shared" si="5"/>
        <v>100002</v>
      </c>
      <c r="B104" s="30">
        <v>1</v>
      </c>
      <c r="C104" s="31" t="s">
        <v>92</v>
      </c>
      <c r="D104" s="30">
        <f t="shared" si="7"/>
        <v>2</v>
      </c>
      <c r="E104" s="30">
        <v>2</v>
      </c>
      <c r="F104" s="31" t="s">
        <v>92</v>
      </c>
      <c r="G104" s="40"/>
      <c r="H104" s="40">
        <v>10000</v>
      </c>
      <c r="I104" s="40">
        <f t="shared" si="6"/>
        <v>2</v>
      </c>
      <c r="J104" s="40">
        <v>0</v>
      </c>
      <c r="K104">
        <v>10</v>
      </c>
      <c r="L104">
        <f t="shared" ref="L104:L112" si="8">E104*K104*3</f>
        <v>60</v>
      </c>
    </row>
    <row r="105" spans="1:12" x14ac:dyDescent="0.25">
      <c r="A105" s="30">
        <f t="shared" si="5"/>
        <v>100003</v>
      </c>
      <c r="B105" s="30">
        <v>1</v>
      </c>
      <c r="C105" s="31" t="s">
        <v>92</v>
      </c>
      <c r="D105" s="30">
        <f t="shared" si="7"/>
        <v>3</v>
      </c>
      <c r="E105" s="30">
        <v>2</v>
      </c>
      <c r="F105" s="31" t="s">
        <v>92</v>
      </c>
      <c r="G105" s="40"/>
      <c r="H105" s="40">
        <v>10000</v>
      </c>
      <c r="I105" s="40">
        <f t="shared" si="6"/>
        <v>3</v>
      </c>
      <c r="J105" s="40">
        <v>0</v>
      </c>
      <c r="K105">
        <v>15</v>
      </c>
      <c r="L105">
        <f t="shared" si="8"/>
        <v>90</v>
      </c>
    </row>
    <row r="106" spans="1:12" x14ac:dyDescent="0.25">
      <c r="A106" s="30">
        <f t="shared" si="5"/>
        <v>100004</v>
      </c>
      <c r="B106" s="30">
        <v>1</v>
      </c>
      <c r="C106" s="31" t="s">
        <v>92</v>
      </c>
      <c r="D106" s="30">
        <f t="shared" si="7"/>
        <v>4</v>
      </c>
      <c r="E106" s="30">
        <v>2.5</v>
      </c>
      <c r="F106" s="31" t="s">
        <v>92</v>
      </c>
      <c r="G106" s="40"/>
      <c r="H106" s="40">
        <v>10000</v>
      </c>
      <c r="I106" s="40">
        <f t="shared" si="6"/>
        <v>4</v>
      </c>
      <c r="J106" s="40">
        <v>0</v>
      </c>
      <c r="K106">
        <v>20</v>
      </c>
      <c r="L106">
        <f t="shared" si="8"/>
        <v>150</v>
      </c>
    </row>
    <row r="107" spans="1:12" x14ac:dyDescent="0.25">
      <c r="A107" s="30">
        <f t="shared" si="5"/>
        <v>100005</v>
      </c>
      <c r="B107" s="30">
        <v>1</v>
      </c>
      <c r="C107" s="31" t="s">
        <v>92</v>
      </c>
      <c r="D107" s="30">
        <f t="shared" si="7"/>
        <v>5</v>
      </c>
      <c r="E107" s="30">
        <v>3.2</v>
      </c>
      <c r="F107" s="31" t="s">
        <v>92</v>
      </c>
      <c r="G107" s="40"/>
      <c r="H107" s="40">
        <v>10000</v>
      </c>
      <c r="I107" s="40">
        <f t="shared" si="6"/>
        <v>5</v>
      </c>
      <c r="J107" s="40">
        <v>0</v>
      </c>
      <c r="K107">
        <v>25</v>
      </c>
      <c r="L107">
        <f t="shared" si="8"/>
        <v>240</v>
      </c>
    </row>
    <row r="108" spans="1:12" x14ac:dyDescent="0.25">
      <c r="A108" s="30">
        <f t="shared" si="5"/>
        <v>100006</v>
      </c>
      <c r="B108" s="30">
        <v>1</v>
      </c>
      <c r="C108" s="31" t="s">
        <v>92</v>
      </c>
      <c r="D108" s="30">
        <f t="shared" si="7"/>
        <v>6</v>
      </c>
      <c r="E108" s="30">
        <v>4.3</v>
      </c>
      <c r="F108" s="31" t="s">
        <v>92</v>
      </c>
      <c r="G108" s="40"/>
      <c r="H108" s="40">
        <v>10000</v>
      </c>
      <c r="I108" s="40">
        <f t="shared" si="6"/>
        <v>6</v>
      </c>
      <c r="J108" s="40">
        <v>0</v>
      </c>
      <c r="K108">
        <v>30</v>
      </c>
      <c r="L108">
        <f t="shared" si="8"/>
        <v>387</v>
      </c>
    </row>
    <row r="109" spans="1:12" x14ac:dyDescent="0.25">
      <c r="A109" s="30">
        <f t="shared" si="5"/>
        <v>100007</v>
      </c>
      <c r="B109" s="30">
        <v>1</v>
      </c>
      <c r="C109" s="31" t="s">
        <v>92</v>
      </c>
      <c r="D109" s="30">
        <f t="shared" si="7"/>
        <v>7</v>
      </c>
      <c r="E109" s="30">
        <v>6</v>
      </c>
      <c r="F109" s="31" t="s">
        <v>92</v>
      </c>
      <c r="G109" s="40"/>
      <c r="H109" s="40">
        <v>10000</v>
      </c>
      <c r="I109" s="40">
        <f t="shared" si="6"/>
        <v>7</v>
      </c>
      <c r="J109" s="40">
        <v>0</v>
      </c>
      <c r="K109">
        <v>35</v>
      </c>
      <c r="L109">
        <f t="shared" si="8"/>
        <v>630</v>
      </c>
    </row>
    <row r="110" spans="1:12" x14ac:dyDescent="0.25">
      <c r="A110" s="30">
        <f t="shared" si="5"/>
        <v>100008</v>
      </c>
      <c r="B110" s="30">
        <v>1</v>
      </c>
      <c r="C110" s="31" t="s">
        <v>92</v>
      </c>
      <c r="D110" s="30">
        <f t="shared" si="7"/>
        <v>8</v>
      </c>
      <c r="E110" s="30">
        <v>8.5</v>
      </c>
      <c r="F110" s="31" t="s">
        <v>92</v>
      </c>
      <c r="G110" s="40"/>
      <c r="H110" s="40">
        <v>10000</v>
      </c>
      <c r="I110" s="40">
        <f t="shared" si="6"/>
        <v>8</v>
      </c>
      <c r="J110" s="40">
        <v>0</v>
      </c>
      <c r="K110">
        <v>40</v>
      </c>
      <c r="L110">
        <f t="shared" si="8"/>
        <v>1020</v>
      </c>
    </row>
    <row r="111" spans="1:12" x14ac:dyDescent="0.25">
      <c r="A111" s="30">
        <f t="shared" si="5"/>
        <v>100009</v>
      </c>
      <c r="B111" s="30">
        <v>1</v>
      </c>
      <c r="C111" s="31" t="s">
        <v>92</v>
      </c>
      <c r="D111" s="30">
        <f t="shared" si="7"/>
        <v>9</v>
      </c>
      <c r="E111" s="30">
        <v>12.2</v>
      </c>
      <c r="F111" s="31" t="s">
        <v>92</v>
      </c>
      <c r="G111" s="40"/>
      <c r="H111" s="40">
        <v>10000</v>
      </c>
      <c r="I111" s="40">
        <f t="shared" si="6"/>
        <v>9</v>
      </c>
      <c r="J111" s="40">
        <v>0</v>
      </c>
      <c r="K111">
        <v>45</v>
      </c>
      <c r="L111">
        <f t="shared" si="8"/>
        <v>1647</v>
      </c>
    </row>
    <row r="112" spans="1:12" x14ac:dyDescent="0.25">
      <c r="A112" s="30">
        <f t="shared" si="5"/>
        <v>100010</v>
      </c>
      <c r="B112" s="30">
        <v>1</v>
      </c>
      <c r="C112" s="31" t="s">
        <v>92</v>
      </c>
      <c r="D112" s="30">
        <f t="shared" si="7"/>
        <v>10</v>
      </c>
      <c r="E112" s="30">
        <v>17.8</v>
      </c>
      <c r="F112" s="31" t="s">
        <v>92</v>
      </c>
      <c r="G112" s="40"/>
      <c r="H112" s="40">
        <v>10000</v>
      </c>
      <c r="I112" s="40">
        <f t="shared" si="6"/>
        <v>10</v>
      </c>
      <c r="J112" s="40">
        <v>0</v>
      </c>
      <c r="K112">
        <v>50</v>
      </c>
      <c r="L112">
        <f t="shared" si="8"/>
        <v>2670</v>
      </c>
    </row>
    <row r="113" spans="1:10" x14ac:dyDescent="0.25">
      <c r="A113" s="33">
        <f t="shared" si="5"/>
        <v>110001</v>
      </c>
      <c r="B113" s="33">
        <v>1</v>
      </c>
      <c r="C113" s="34" t="s">
        <v>93</v>
      </c>
      <c r="D113" s="33">
        <f t="shared" si="7"/>
        <v>1</v>
      </c>
      <c r="E113" s="33">
        <v>2</v>
      </c>
      <c r="F113" s="34" t="s">
        <v>93</v>
      </c>
      <c r="G113" s="41"/>
      <c r="H113" s="41">
        <v>11000</v>
      </c>
      <c r="I113" s="41">
        <f t="shared" si="6"/>
        <v>1</v>
      </c>
      <c r="J113" s="41">
        <v>0</v>
      </c>
    </row>
    <row r="114" spans="1:10" x14ac:dyDescent="0.25">
      <c r="A114" s="33">
        <f t="shared" si="5"/>
        <v>110002</v>
      </c>
      <c r="B114" s="33">
        <v>1</v>
      </c>
      <c r="C114" s="34" t="s">
        <v>93</v>
      </c>
      <c r="D114" s="33">
        <f t="shared" si="7"/>
        <v>2</v>
      </c>
      <c r="E114" s="33">
        <v>2</v>
      </c>
      <c r="F114" s="34" t="s">
        <v>93</v>
      </c>
      <c r="G114" s="41"/>
      <c r="H114" s="41">
        <v>11000</v>
      </c>
      <c r="I114" s="41">
        <f t="shared" si="6"/>
        <v>2</v>
      </c>
      <c r="J114" s="41">
        <v>0</v>
      </c>
    </row>
    <row r="115" spans="1:10" x14ac:dyDescent="0.25">
      <c r="A115" s="33">
        <f t="shared" si="5"/>
        <v>110003</v>
      </c>
      <c r="B115" s="33">
        <v>1</v>
      </c>
      <c r="C115" s="34" t="s">
        <v>93</v>
      </c>
      <c r="D115" s="33">
        <f t="shared" si="7"/>
        <v>3</v>
      </c>
      <c r="E115" s="33">
        <v>2</v>
      </c>
      <c r="F115" s="34" t="s">
        <v>93</v>
      </c>
      <c r="G115" s="41"/>
      <c r="H115" s="41">
        <v>11000</v>
      </c>
      <c r="I115" s="41">
        <f t="shared" si="6"/>
        <v>3</v>
      </c>
      <c r="J115" s="41">
        <v>0</v>
      </c>
    </row>
    <row r="116" spans="1:10" x14ac:dyDescent="0.25">
      <c r="A116" s="33">
        <f t="shared" si="5"/>
        <v>110004</v>
      </c>
      <c r="B116" s="33">
        <v>1</v>
      </c>
      <c r="C116" s="34" t="s">
        <v>93</v>
      </c>
      <c r="D116" s="33">
        <f t="shared" si="7"/>
        <v>4</v>
      </c>
      <c r="E116" s="33">
        <v>2.5</v>
      </c>
      <c r="F116" s="34" t="s">
        <v>93</v>
      </c>
      <c r="G116" s="41"/>
      <c r="H116" s="41">
        <v>11000</v>
      </c>
      <c r="I116" s="41">
        <f t="shared" si="6"/>
        <v>4</v>
      </c>
      <c r="J116" s="41">
        <v>0</v>
      </c>
    </row>
    <row r="117" spans="1:10" x14ac:dyDescent="0.25">
      <c r="A117" s="33">
        <f t="shared" si="5"/>
        <v>110005</v>
      </c>
      <c r="B117" s="33">
        <v>1</v>
      </c>
      <c r="C117" s="34" t="s">
        <v>93</v>
      </c>
      <c r="D117" s="33">
        <f t="shared" si="7"/>
        <v>5</v>
      </c>
      <c r="E117" s="33">
        <v>3.2</v>
      </c>
      <c r="F117" s="34" t="s">
        <v>93</v>
      </c>
      <c r="G117" s="41"/>
      <c r="H117" s="41">
        <v>11000</v>
      </c>
      <c r="I117" s="41">
        <f t="shared" si="6"/>
        <v>5</v>
      </c>
      <c r="J117" s="41">
        <v>0</v>
      </c>
    </row>
    <row r="118" spans="1:10" x14ac:dyDescent="0.25">
      <c r="A118" s="33">
        <f t="shared" si="5"/>
        <v>110006</v>
      </c>
      <c r="B118" s="33">
        <v>1</v>
      </c>
      <c r="C118" s="34" t="s">
        <v>93</v>
      </c>
      <c r="D118" s="33">
        <f t="shared" si="7"/>
        <v>6</v>
      </c>
      <c r="E118" s="33">
        <v>4.3</v>
      </c>
      <c r="F118" s="34" t="s">
        <v>93</v>
      </c>
      <c r="G118" s="41"/>
      <c r="H118" s="41">
        <v>11000</v>
      </c>
      <c r="I118" s="41">
        <f t="shared" si="6"/>
        <v>6</v>
      </c>
      <c r="J118" s="41">
        <v>0</v>
      </c>
    </row>
    <row r="119" spans="1:10" x14ac:dyDescent="0.25">
      <c r="A119" s="33">
        <f t="shared" si="5"/>
        <v>110007</v>
      </c>
      <c r="B119" s="33">
        <v>1</v>
      </c>
      <c r="C119" s="34" t="s">
        <v>93</v>
      </c>
      <c r="D119" s="33">
        <f t="shared" si="7"/>
        <v>7</v>
      </c>
      <c r="E119" s="33">
        <v>6</v>
      </c>
      <c r="F119" s="34" t="s">
        <v>93</v>
      </c>
      <c r="G119" s="41"/>
      <c r="H119" s="41">
        <v>11000</v>
      </c>
      <c r="I119" s="41">
        <f t="shared" si="6"/>
        <v>7</v>
      </c>
      <c r="J119" s="41">
        <v>0</v>
      </c>
    </row>
    <row r="120" spans="1:10" x14ac:dyDescent="0.25">
      <c r="A120" s="33">
        <f t="shared" si="5"/>
        <v>110008</v>
      </c>
      <c r="B120" s="33">
        <v>1</v>
      </c>
      <c r="C120" s="34" t="s">
        <v>93</v>
      </c>
      <c r="D120" s="33">
        <f t="shared" si="7"/>
        <v>8</v>
      </c>
      <c r="E120" s="33">
        <v>8.5</v>
      </c>
      <c r="F120" s="34" t="s">
        <v>93</v>
      </c>
      <c r="G120" s="41"/>
      <c r="H120" s="41">
        <v>11000</v>
      </c>
      <c r="I120" s="41">
        <f t="shared" si="6"/>
        <v>8</v>
      </c>
      <c r="J120" s="41">
        <v>0</v>
      </c>
    </row>
    <row r="121" spans="1:10" x14ac:dyDescent="0.25">
      <c r="A121" s="33">
        <f t="shared" si="5"/>
        <v>110009</v>
      </c>
      <c r="B121" s="33">
        <v>1</v>
      </c>
      <c r="C121" s="34" t="s">
        <v>93</v>
      </c>
      <c r="D121" s="33">
        <f t="shared" si="7"/>
        <v>9</v>
      </c>
      <c r="E121" s="33">
        <v>12.2</v>
      </c>
      <c r="F121" s="34" t="s">
        <v>93</v>
      </c>
      <c r="G121" s="41"/>
      <c r="H121" s="41">
        <v>11000</v>
      </c>
      <c r="I121" s="41">
        <f t="shared" si="6"/>
        <v>9</v>
      </c>
      <c r="J121" s="41">
        <v>0</v>
      </c>
    </row>
    <row r="122" spans="1:10" x14ac:dyDescent="0.25">
      <c r="A122" s="33">
        <f t="shared" si="5"/>
        <v>110010</v>
      </c>
      <c r="B122" s="33">
        <v>1</v>
      </c>
      <c r="C122" s="34" t="s">
        <v>93</v>
      </c>
      <c r="D122" s="33">
        <f t="shared" si="7"/>
        <v>10</v>
      </c>
      <c r="E122" s="33">
        <v>17.8</v>
      </c>
      <c r="F122" s="34" t="s">
        <v>93</v>
      </c>
      <c r="G122" s="41"/>
      <c r="H122" s="41">
        <v>11000</v>
      </c>
      <c r="I122" s="41">
        <f t="shared" si="6"/>
        <v>10</v>
      </c>
      <c r="J122" s="41">
        <v>0</v>
      </c>
    </row>
    <row r="123" spans="1:10" x14ac:dyDescent="0.25">
      <c r="A123" s="42">
        <f t="shared" si="5"/>
        <v>140001</v>
      </c>
      <c r="B123" s="42">
        <v>1</v>
      </c>
      <c r="C123" s="43" t="s">
        <v>94</v>
      </c>
      <c r="D123" s="42">
        <f t="shared" si="7"/>
        <v>1</v>
      </c>
      <c r="E123" s="42">
        <v>2</v>
      </c>
      <c r="F123" s="43" t="s">
        <v>94</v>
      </c>
      <c r="G123" s="44"/>
      <c r="H123" s="45">
        <v>14000</v>
      </c>
      <c r="I123" s="45">
        <f t="shared" si="6"/>
        <v>1</v>
      </c>
      <c r="J123" s="45">
        <v>0</v>
      </c>
    </row>
    <row r="124" spans="1:10" x14ac:dyDescent="0.25">
      <c r="A124" s="42">
        <f t="shared" si="5"/>
        <v>140002</v>
      </c>
      <c r="B124" s="42">
        <v>1</v>
      </c>
      <c r="C124" s="43" t="s">
        <v>94</v>
      </c>
      <c r="D124" s="42">
        <f t="shared" si="7"/>
        <v>2</v>
      </c>
      <c r="E124" s="42">
        <v>2</v>
      </c>
      <c r="F124" s="43" t="s">
        <v>94</v>
      </c>
      <c r="G124" s="44"/>
      <c r="H124" s="45">
        <v>14000</v>
      </c>
      <c r="I124" s="45">
        <f t="shared" si="6"/>
        <v>2</v>
      </c>
      <c r="J124" s="45">
        <v>0</v>
      </c>
    </row>
    <row r="125" spans="1:10" x14ac:dyDescent="0.25">
      <c r="A125" s="42">
        <f t="shared" si="5"/>
        <v>140003</v>
      </c>
      <c r="B125" s="42">
        <v>1</v>
      </c>
      <c r="C125" s="43" t="s">
        <v>94</v>
      </c>
      <c r="D125" s="42">
        <f t="shared" si="7"/>
        <v>3</v>
      </c>
      <c r="E125" s="42">
        <v>2</v>
      </c>
      <c r="F125" s="43" t="s">
        <v>94</v>
      </c>
      <c r="G125" s="44"/>
      <c r="H125" s="45">
        <v>14000</v>
      </c>
      <c r="I125" s="45">
        <f t="shared" si="6"/>
        <v>3</v>
      </c>
      <c r="J125" s="45">
        <v>0</v>
      </c>
    </row>
    <row r="126" spans="1:10" x14ac:dyDescent="0.25">
      <c r="A126" s="42">
        <f t="shared" si="5"/>
        <v>140004</v>
      </c>
      <c r="B126" s="42">
        <v>1</v>
      </c>
      <c r="C126" s="43" t="s">
        <v>94</v>
      </c>
      <c r="D126" s="42">
        <f t="shared" si="7"/>
        <v>4</v>
      </c>
      <c r="E126" s="42">
        <v>2.5</v>
      </c>
      <c r="F126" s="43" t="s">
        <v>94</v>
      </c>
      <c r="G126" s="44"/>
      <c r="H126" s="45">
        <v>14000</v>
      </c>
      <c r="I126" s="45">
        <f t="shared" si="6"/>
        <v>4</v>
      </c>
      <c r="J126" s="45">
        <v>0</v>
      </c>
    </row>
    <row r="127" spans="1:10" x14ac:dyDescent="0.25">
      <c r="A127" s="42">
        <f t="shared" si="5"/>
        <v>140005</v>
      </c>
      <c r="B127" s="42">
        <v>1</v>
      </c>
      <c r="C127" s="43" t="s">
        <v>94</v>
      </c>
      <c r="D127" s="42">
        <f t="shared" si="7"/>
        <v>5</v>
      </c>
      <c r="E127" s="42">
        <v>3.2</v>
      </c>
      <c r="F127" s="43" t="s">
        <v>94</v>
      </c>
      <c r="G127" s="44"/>
      <c r="H127" s="45">
        <v>14000</v>
      </c>
      <c r="I127" s="45">
        <f t="shared" si="6"/>
        <v>5</v>
      </c>
      <c r="J127" s="45">
        <v>0</v>
      </c>
    </row>
    <row r="128" spans="1:10" x14ac:dyDescent="0.25">
      <c r="A128" s="42">
        <f t="shared" si="5"/>
        <v>140006</v>
      </c>
      <c r="B128" s="42">
        <v>1</v>
      </c>
      <c r="C128" s="43" t="s">
        <v>94</v>
      </c>
      <c r="D128" s="42">
        <f t="shared" si="7"/>
        <v>6</v>
      </c>
      <c r="E128" s="42">
        <v>4.3</v>
      </c>
      <c r="F128" s="43" t="s">
        <v>94</v>
      </c>
      <c r="G128" s="44"/>
      <c r="H128" s="45">
        <v>14000</v>
      </c>
      <c r="I128" s="45">
        <f t="shared" si="6"/>
        <v>6</v>
      </c>
      <c r="J128" s="45">
        <v>0</v>
      </c>
    </row>
    <row r="129" spans="1:10" x14ac:dyDescent="0.25">
      <c r="A129" s="42">
        <f t="shared" si="5"/>
        <v>140007</v>
      </c>
      <c r="B129" s="42">
        <v>1</v>
      </c>
      <c r="C129" s="43" t="s">
        <v>94</v>
      </c>
      <c r="D129" s="42">
        <f t="shared" si="7"/>
        <v>7</v>
      </c>
      <c r="E129" s="42">
        <v>6</v>
      </c>
      <c r="F129" s="43" t="s">
        <v>94</v>
      </c>
      <c r="G129" s="44"/>
      <c r="H129" s="45">
        <v>14000</v>
      </c>
      <c r="I129" s="45">
        <f t="shared" si="6"/>
        <v>7</v>
      </c>
      <c r="J129" s="45">
        <v>0</v>
      </c>
    </row>
    <row r="130" spans="1:10" x14ac:dyDescent="0.25">
      <c r="A130" s="42">
        <f t="shared" si="5"/>
        <v>140008</v>
      </c>
      <c r="B130" s="42">
        <v>1</v>
      </c>
      <c r="C130" s="43" t="s">
        <v>94</v>
      </c>
      <c r="D130" s="42">
        <f t="shared" si="7"/>
        <v>8</v>
      </c>
      <c r="E130" s="42">
        <v>8.5</v>
      </c>
      <c r="F130" s="43" t="s">
        <v>94</v>
      </c>
      <c r="G130" s="44"/>
      <c r="H130" s="45">
        <v>14000</v>
      </c>
      <c r="I130" s="45">
        <f t="shared" si="6"/>
        <v>8</v>
      </c>
      <c r="J130" s="45">
        <v>0</v>
      </c>
    </row>
    <row r="131" spans="1:10" x14ac:dyDescent="0.25">
      <c r="A131" s="42">
        <f t="shared" si="5"/>
        <v>140009</v>
      </c>
      <c r="B131" s="42">
        <v>1</v>
      </c>
      <c r="C131" s="43" t="s">
        <v>94</v>
      </c>
      <c r="D131" s="42">
        <f t="shared" si="7"/>
        <v>9</v>
      </c>
      <c r="E131" s="42">
        <v>12.2</v>
      </c>
      <c r="F131" s="43" t="s">
        <v>94</v>
      </c>
      <c r="G131" s="44"/>
      <c r="H131" s="45">
        <v>14000</v>
      </c>
      <c r="I131" s="45">
        <f t="shared" si="6"/>
        <v>9</v>
      </c>
      <c r="J131" s="45">
        <v>0</v>
      </c>
    </row>
    <row r="132" spans="1:10" x14ac:dyDescent="0.25">
      <c r="A132" s="42">
        <f t="shared" ref="A132:A141" si="9">H132*10+I132</f>
        <v>140010</v>
      </c>
      <c r="B132" s="42">
        <v>1</v>
      </c>
      <c r="C132" s="43" t="s">
        <v>94</v>
      </c>
      <c r="D132" s="42">
        <f t="shared" si="7"/>
        <v>10</v>
      </c>
      <c r="E132" s="42">
        <v>17.8</v>
      </c>
      <c r="F132" s="43" t="s">
        <v>94</v>
      </c>
      <c r="G132" s="44"/>
      <c r="H132" s="45">
        <v>14000</v>
      </c>
      <c r="I132" s="45">
        <f t="shared" si="6"/>
        <v>10</v>
      </c>
      <c r="J132" s="45">
        <v>0</v>
      </c>
    </row>
    <row r="133" spans="1:10" x14ac:dyDescent="0.25">
      <c r="A133" s="46">
        <f t="shared" si="9"/>
        <v>120001</v>
      </c>
      <c r="B133" s="46">
        <v>1</v>
      </c>
      <c r="C133" s="47" t="s">
        <v>95</v>
      </c>
      <c r="D133" s="46">
        <f t="shared" si="7"/>
        <v>1</v>
      </c>
      <c r="E133" s="46">
        <v>2</v>
      </c>
      <c r="F133" s="47" t="s">
        <v>95</v>
      </c>
      <c r="G133" s="48"/>
      <c r="H133" s="49">
        <v>12000</v>
      </c>
      <c r="I133" s="49">
        <f t="shared" si="6"/>
        <v>1</v>
      </c>
      <c r="J133" s="49">
        <v>0</v>
      </c>
    </row>
    <row r="134" spans="1:10" x14ac:dyDescent="0.25">
      <c r="A134" s="46">
        <f t="shared" si="9"/>
        <v>120002</v>
      </c>
      <c r="B134" s="46">
        <v>1</v>
      </c>
      <c r="C134" s="47" t="s">
        <v>95</v>
      </c>
      <c r="D134" s="46">
        <f t="shared" si="7"/>
        <v>2</v>
      </c>
      <c r="E134" s="46">
        <v>2</v>
      </c>
      <c r="F134" s="47" t="s">
        <v>95</v>
      </c>
      <c r="G134" s="48"/>
      <c r="H134" s="49">
        <v>12000</v>
      </c>
      <c r="I134" s="49">
        <f t="shared" si="6"/>
        <v>2</v>
      </c>
      <c r="J134" s="49">
        <v>0</v>
      </c>
    </row>
    <row r="135" spans="1:10" x14ac:dyDescent="0.25">
      <c r="A135" s="46">
        <f t="shared" si="9"/>
        <v>120003</v>
      </c>
      <c r="B135" s="46">
        <v>1</v>
      </c>
      <c r="C135" s="47" t="s">
        <v>95</v>
      </c>
      <c r="D135" s="46">
        <f t="shared" si="7"/>
        <v>3</v>
      </c>
      <c r="E135" s="46">
        <v>2</v>
      </c>
      <c r="F135" s="47" t="s">
        <v>95</v>
      </c>
      <c r="G135" s="48"/>
      <c r="H135" s="49">
        <v>12000</v>
      </c>
      <c r="I135" s="49">
        <f t="shared" si="6"/>
        <v>3</v>
      </c>
      <c r="J135" s="49">
        <v>0</v>
      </c>
    </row>
    <row r="136" spans="1:10" x14ac:dyDescent="0.25">
      <c r="A136" s="46">
        <f t="shared" si="9"/>
        <v>120004</v>
      </c>
      <c r="B136" s="46">
        <v>1</v>
      </c>
      <c r="C136" s="47" t="s">
        <v>95</v>
      </c>
      <c r="D136" s="46">
        <f t="shared" si="7"/>
        <v>4</v>
      </c>
      <c r="E136" s="46">
        <v>2.5</v>
      </c>
      <c r="F136" s="47" t="s">
        <v>95</v>
      </c>
      <c r="G136" s="48"/>
      <c r="H136" s="49">
        <v>12000</v>
      </c>
      <c r="I136" s="49">
        <f t="shared" si="6"/>
        <v>4</v>
      </c>
      <c r="J136" s="49">
        <v>0</v>
      </c>
    </row>
    <row r="137" spans="1:10" x14ac:dyDescent="0.25">
      <c r="A137" s="46">
        <f t="shared" si="9"/>
        <v>120005</v>
      </c>
      <c r="B137" s="46">
        <v>1</v>
      </c>
      <c r="C137" s="47" t="s">
        <v>95</v>
      </c>
      <c r="D137" s="46">
        <f t="shared" si="7"/>
        <v>5</v>
      </c>
      <c r="E137" s="46">
        <v>3.2</v>
      </c>
      <c r="F137" s="47" t="s">
        <v>95</v>
      </c>
      <c r="G137" s="48"/>
      <c r="H137" s="49">
        <v>12000</v>
      </c>
      <c r="I137" s="49">
        <f t="shared" si="6"/>
        <v>5</v>
      </c>
      <c r="J137" s="49">
        <v>0</v>
      </c>
    </row>
    <row r="138" spans="1:10" x14ac:dyDescent="0.25">
      <c r="A138" s="46">
        <f t="shared" si="9"/>
        <v>120006</v>
      </c>
      <c r="B138" s="46">
        <v>1</v>
      </c>
      <c r="C138" s="47" t="s">
        <v>95</v>
      </c>
      <c r="D138" s="46">
        <f t="shared" si="7"/>
        <v>6</v>
      </c>
      <c r="E138" s="46">
        <v>4.3</v>
      </c>
      <c r="F138" s="47" t="s">
        <v>95</v>
      </c>
      <c r="G138" s="48"/>
      <c r="H138" s="49">
        <v>12000</v>
      </c>
      <c r="I138" s="49">
        <f t="shared" si="6"/>
        <v>6</v>
      </c>
      <c r="J138" s="49">
        <v>0</v>
      </c>
    </row>
    <row r="139" spans="1:10" x14ac:dyDescent="0.25">
      <c r="A139" s="46">
        <f t="shared" si="9"/>
        <v>120007</v>
      </c>
      <c r="B139" s="46">
        <v>1</v>
      </c>
      <c r="C139" s="47" t="s">
        <v>95</v>
      </c>
      <c r="D139" s="46">
        <f t="shared" si="7"/>
        <v>7</v>
      </c>
      <c r="E139" s="46">
        <v>6</v>
      </c>
      <c r="F139" s="47" t="s">
        <v>95</v>
      </c>
      <c r="G139" s="48"/>
      <c r="H139" s="49">
        <v>12000</v>
      </c>
      <c r="I139" s="49">
        <f t="shared" si="6"/>
        <v>7</v>
      </c>
      <c r="J139" s="49">
        <v>0</v>
      </c>
    </row>
    <row r="140" spans="1:10" x14ac:dyDescent="0.25">
      <c r="A140" s="46">
        <f t="shared" si="9"/>
        <v>120008</v>
      </c>
      <c r="B140" s="46">
        <v>1</v>
      </c>
      <c r="C140" s="47" t="s">
        <v>95</v>
      </c>
      <c r="D140" s="46">
        <f t="shared" si="7"/>
        <v>8</v>
      </c>
      <c r="E140" s="46">
        <v>8.5</v>
      </c>
      <c r="F140" s="47" t="s">
        <v>95</v>
      </c>
      <c r="G140" s="48"/>
      <c r="H140" s="49">
        <v>12000</v>
      </c>
      <c r="I140" s="49">
        <f t="shared" si="6"/>
        <v>8</v>
      </c>
      <c r="J140" s="49">
        <v>0</v>
      </c>
    </row>
    <row r="141" spans="1:10" x14ac:dyDescent="0.25">
      <c r="A141" s="46">
        <f t="shared" si="9"/>
        <v>120009</v>
      </c>
      <c r="B141" s="46">
        <v>1</v>
      </c>
      <c r="C141" s="47" t="s">
        <v>95</v>
      </c>
      <c r="D141" s="46">
        <f t="shared" si="7"/>
        <v>9</v>
      </c>
      <c r="E141" s="46">
        <v>12.2</v>
      </c>
      <c r="F141" s="47" t="s">
        <v>95</v>
      </c>
      <c r="G141" s="48"/>
      <c r="H141" s="49">
        <v>12000</v>
      </c>
      <c r="I141" s="49">
        <f t="shared" si="6"/>
        <v>9</v>
      </c>
      <c r="J141" s="49">
        <v>0</v>
      </c>
    </row>
    <row r="142" spans="1:10" x14ac:dyDescent="0.25">
      <c r="A142" s="46">
        <f t="shared" ref="A142:A151" si="10">H142*10+I142</f>
        <v>120010</v>
      </c>
      <c r="B142" s="46">
        <v>1</v>
      </c>
      <c r="C142" s="47" t="s">
        <v>95</v>
      </c>
      <c r="D142" s="46">
        <f t="shared" si="7"/>
        <v>10</v>
      </c>
      <c r="E142" s="46">
        <v>17.8</v>
      </c>
      <c r="F142" s="47" t="s">
        <v>95</v>
      </c>
      <c r="G142" s="48"/>
      <c r="H142" s="49">
        <v>12000</v>
      </c>
      <c r="I142" s="49">
        <f t="shared" ref="I142" si="11">I132</f>
        <v>10</v>
      </c>
      <c r="J142" s="49">
        <v>0</v>
      </c>
    </row>
    <row r="143" spans="1:10" x14ac:dyDescent="0.25">
      <c r="A143" s="11">
        <f t="shared" si="10"/>
        <v>150001</v>
      </c>
      <c r="B143" s="11">
        <v>1</v>
      </c>
      <c r="C143" s="12" t="s">
        <v>96</v>
      </c>
      <c r="D143" s="11">
        <f t="shared" si="7"/>
        <v>1</v>
      </c>
      <c r="E143" s="11">
        <v>2</v>
      </c>
      <c r="F143" s="12" t="s">
        <v>96</v>
      </c>
      <c r="G143" s="50"/>
      <c r="H143" s="51">
        <v>15000</v>
      </c>
      <c r="I143" s="51">
        <f t="shared" si="6"/>
        <v>1</v>
      </c>
      <c r="J143" s="51">
        <v>0</v>
      </c>
    </row>
    <row r="144" spans="1:10" x14ac:dyDescent="0.25">
      <c r="A144" s="11">
        <f t="shared" si="10"/>
        <v>150002</v>
      </c>
      <c r="B144" s="11">
        <v>1</v>
      </c>
      <c r="C144" s="12" t="s">
        <v>96</v>
      </c>
      <c r="D144" s="11">
        <f t="shared" si="7"/>
        <v>2</v>
      </c>
      <c r="E144" s="11">
        <v>2</v>
      </c>
      <c r="F144" s="12" t="s">
        <v>96</v>
      </c>
      <c r="G144" s="50"/>
      <c r="H144" s="51">
        <v>15000</v>
      </c>
      <c r="I144" s="51">
        <f t="shared" ref="I144:I152" si="12">I134</f>
        <v>2</v>
      </c>
      <c r="J144" s="51">
        <v>0</v>
      </c>
    </row>
    <row r="145" spans="1:10" x14ac:dyDescent="0.25">
      <c r="A145" s="11">
        <f t="shared" si="10"/>
        <v>150003</v>
      </c>
      <c r="B145" s="11">
        <v>1</v>
      </c>
      <c r="C145" s="12" t="s">
        <v>96</v>
      </c>
      <c r="D145" s="11">
        <f t="shared" si="7"/>
        <v>3</v>
      </c>
      <c r="E145" s="11">
        <v>2</v>
      </c>
      <c r="F145" s="12" t="s">
        <v>96</v>
      </c>
      <c r="G145" s="50"/>
      <c r="H145" s="51">
        <v>15000</v>
      </c>
      <c r="I145" s="51">
        <f t="shared" si="12"/>
        <v>3</v>
      </c>
      <c r="J145" s="51">
        <v>0</v>
      </c>
    </row>
    <row r="146" spans="1:10" x14ac:dyDescent="0.25">
      <c r="A146" s="11">
        <f t="shared" si="10"/>
        <v>150004</v>
      </c>
      <c r="B146" s="11">
        <v>1</v>
      </c>
      <c r="C146" s="12" t="s">
        <v>96</v>
      </c>
      <c r="D146" s="11">
        <f t="shared" si="7"/>
        <v>4</v>
      </c>
      <c r="E146" s="11">
        <v>2.5</v>
      </c>
      <c r="F146" s="12" t="s">
        <v>96</v>
      </c>
      <c r="G146" s="50"/>
      <c r="H146" s="51">
        <v>15000</v>
      </c>
      <c r="I146" s="51">
        <f t="shared" si="12"/>
        <v>4</v>
      </c>
      <c r="J146" s="51">
        <v>0</v>
      </c>
    </row>
    <row r="147" spans="1:10" x14ac:dyDescent="0.25">
      <c r="A147" s="11">
        <f t="shared" si="10"/>
        <v>150005</v>
      </c>
      <c r="B147" s="11">
        <v>1</v>
      </c>
      <c r="C147" s="12" t="s">
        <v>96</v>
      </c>
      <c r="D147" s="11">
        <f t="shared" si="7"/>
        <v>5</v>
      </c>
      <c r="E147" s="11">
        <v>3.2</v>
      </c>
      <c r="F147" s="12" t="s">
        <v>96</v>
      </c>
      <c r="G147" s="50"/>
      <c r="H147" s="51">
        <v>15000</v>
      </c>
      <c r="I147" s="51">
        <f t="shared" si="12"/>
        <v>5</v>
      </c>
      <c r="J147" s="51">
        <v>0</v>
      </c>
    </row>
    <row r="148" spans="1:10" x14ac:dyDescent="0.25">
      <c r="A148" s="11">
        <f t="shared" si="10"/>
        <v>150006</v>
      </c>
      <c r="B148" s="11">
        <v>1</v>
      </c>
      <c r="C148" s="12" t="s">
        <v>96</v>
      </c>
      <c r="D148" s="11">
        <f t="shared" si="7"/>
        <v>6</v>
      </c>
      <c r="E148" s="11">
        <v>4.3</v>
      </c>
      <c r="F148" s="12" t="s">
        <v>96</v>
      </c>
      <c r="G148" s="50"/>
      <c r="H148" s="51">
        <v>15000</v>
      </c>
      <c r="I148" s="51">
        <f t="shared" si="12"/>
        <v>6</v>
      </c>
      <c r="J148" s="51">
        <v>0</v>
      </c>
    </row>
    <row r="149" spans="1:10" x14ac:dyDescent="0.25">
      <c r="A149" s="11">
        <f t="shared" si="10"/>
        <v>150007</v>
      </c>
      <c r="B149" s="11">
        <v>1</v>
      </c>
      <c r="C149" s="12" t="s">
        <v>96</v>
      </c>
      <c r="D149" s="11">
        <f t="shared" si="7"/>
        <v>7</v>
      </c>
      <c r="E149" s="11">
        <v>6</v>
      </c>
      <c r="F149" s="12" t="s">
        <v>96</v>
      </c>
      <c r="G149" s="50"/>
      <c r="H149" s="51">
        <v>15000</v>
      </c>
      <c r="I149" s="51">
        <f t="shared" si="12"/>
        <v>7</v>
      </c>
      <c r="J149" s="51">
        <v>0</v>
      </c>
    </row>
    <row r="150" spans="1:10" x14ac:dyDescent="0.25">
      <c r="A150" s="11">
        <f t="shared" si="10"/>
        <v>150008</v>
      </c>
      <c r="B150" s="11">
        <v>1</v>
      </c>
      <c r="C150" s="12" t="s">
        <v>96</v>
      </c>
      <c r="D150" s="11">
        <f t="shared" si="7"/>
        <v>8</v>
      </c>
      <c r="E150" s="11">
        <v>8.5</v>
      </c>
      <c r="F150" s="12" t="s">
        <v>96</v>
      </c>
      <c r="G150" s="50"/>
      <c r="H150" s="51">
        <v>15000</v>
      </c>
      <c r="I150" s="51">
        <f t="shared" si="12"/>
        <v>8</v>
      </c>
      <c r="J150" s="51">
        <v>0</v>
      </c>
    </row>
    <row r="151" spans="1:10" x14ac:dyDescent="0.25">
      <c r="A151" s="11">
        <f t="shared" si="10"/>
        <v>150009</v>
      </c>
      <c r="B151" s="11">
        <v>1</v>
      </c>
      <c r="C151" s="12" t="s">
        <v>96</v>
      </c>
      <c r="D151" s="11">
        <f t="shared" si="7"/>
        <v>9</v>
      </c>
      <c r="E151" s="11">
        <v>12.2</v>
      </c>
      <c r="F151" s="12" t="s">
        <v>96</v>
      </c>
      <c r="G151" s="50"/>
      <c r="H151" s="51">
        <v>15000</v>
      </c>
      <c r="I151" s="51">
        <f t="shared" si="12"/>
        <v>9</v>
      </c>
      <c r="J151" s="51">
        <v>0</v>
      </c>
    </row>
    <row r="152" spans="1:10" x14ac:dyDescent="0.25">
      <c r="A152" s="72">
        <f t="shared" ref="A152:A162" si="13">H152*10+I152</f>
        <v>150010</v>
      </c>
      <c r="B152" s="72">
        <v>1</v>
      </c>
      <c r="C152" s="73" t="s">
        <v>96</v>
      </c>
      <c r="D152" s="72">
        <f t="shared" ref="D152" si="14">D142</f>
        <v>10</v>
      </c>
      <c r="E152" s="72">
        <v>17.8</v>
      </c>
      <c r="F152" s="73" t="s">
        <v>96</v>
      </c>
      <c r="G152" s="50"/>
      <c r="H152" s="74">
        <v>15000</v>
      </c>
      <c r="I152" s="74">
        <f t="shared" si="12"/>
        <v>10</v>
      </c>
      <c r="J152" s="74">
        <v>0</v>
      </c>
    </row>
    <row r="153" spans="1:10" x14ac:dyDescent="0.25">
      <c r="A153" s="66">
        <f t="shared" si="13"/>
        <v>160001</v>
      </c>
      <c r="B153" s="66">
        <v>1</v>
      </c>
      <c r="C153" s="66" t="s">
        <v>97</v>
      </c>
      <c r="D153" s="66">
        <v>1</v>
      </c>
      <c r="E153" s="66">
        <v>17</v>
      </c>
      <c r="F153" s="77" t="s">
        <v>97</v>
      </c>
      <c r="G153" s="77"/>
      <c r="H153" s="77">
        <v>16000</v>
      </c>
      <c r="I153" s="77">
        <v>1</v>
      </c>
      <c r="J153" s="77">
        <v>0</v>
      </c>
    </row>
    <row r="154" spans="1:10" x14ac:dyDescent="0.25">
      <c r="A154" s="66">
        <f t="shared" si="13"/>
        <v>160002</v>
      </c>
      <c r="B154" s="66">
        <v>1</v>
      </c>
      <c r="C154" s="66" t="s">
        <v>97</v>
      </c>
      <c r="D154" s="66">
        <v>2</v>
      </c>
      <c r="E154" s="66">
        <v>27</v>
      </c>
      <c r="F154" s="77" t="s">
        <v>97</v>
      </c>
      <c r="G154" s="77"/>
      <c r="H154" s="77">
        <v>16000</v>
      </c>
      <c r="I154" s="77">
        <v>2</v>
      </c>
      <c r="J154" s="77">
        <v>0</v>
      </c>
    </row>
    <row r="155" spans="1:10" x14ac:dyDescent="0.25">
      <c r="A155" s="66">
        <f t="shared" si="13"/>
        <v>160003</v>
      </c>
      <c r="B155" s="66">
        <v>1</v>
      </c>
      <c r="C155" s="66" t="s">
        <v>97</v>
      </c>
      <c r="D155" s="66">
        <v>3</v>
      </c>
      <c r="E155" s="66">
        <v>31</v>
      </c>
      <c r="F155" s="77" t="s">
        <v>97</v>
      </c>
      <c r="G155" s="77"/>
      <c r="H155" s="77">
        <v>16000</v>
      </c>
      <c r="I155" s="77">
        <v>3</v>
      </c>
      <c r="J155" s="77">
        <v>0</v>
      </c>
    </row>
    <row r="156" spans="1:10" x14ac:dyDescent="0.25">
      <c r="A156" s="66">
        <f t="shared" si="13"/>
        <v>160004</v>
      </c>
      <c r="B156" s="66">
        <v>1</v>
      </c>
      <c r="C156" s="66" t="s">
        <v>97</v>
      </c>
      <c r="D156" s="66">
        <v>4</v>
      </c>
      <c r="E156" s="66">
        <v>39</v>
      </c>
      <c r="F156" s="77" t="s">
        <v>97</v>
      </c>
      <c r="G156" s="77"/>
      <c r="H156" s="77">
        <v>16000</v>
      </c>
      <c r="I156" s="77">
        <v>4</v>
      </c>
      <c r="J156" s="77">
        <v>0</v>
      </c>
    </row>
    <row r="157" spans="1:10" x14ac:dyDescent="0.25">
      <c r="A157" s="66">
        <f t="shared" si="13"/>
        <v>160005</v>
      </c>
      <c r="B157" s="66">
        <v>1</v>
      </c>
      <c r="C157" s="66" t="s">
        <v>97</v>
      </c>
      <c r="D157" s="66">
        <v>5</v>
      </c>
      <c r="E157" s="66">
        <v>54</v>
      </c>
      <c r="F157" s="77" t="s">
        <v>97</v>
      </c>
      <c r="G157" s="77"/>
      <c r="H157" s="77">
        <v>16000</v>
      </c>
      <c r="I157" s="77">
        <v>5</v>
      </c>
      <c r="J157" s="77">
        <v>0</v>
      </c>
    </row>
    <row r="158" spans="1:10" x14ac:dyDescent="0.25">
      <c r="A158" s="66">
        <f t="shared" si="13"/>
        <v>160006</v>
      </c>
      <c r="B158" s="66">
        <v>1</v>
      </c>
      <c r="C158" s="66" t="s">
        <v>97</v>
      </c>
      <c r="D158" s="66">
        <v>6</v>
      </c>
      <c r="E158" s="66">
        <v>76</v>
      </c>
      <c r="F158" s="77" t="s">
        <v>97</v>
      </c>
      <c r="G158" s="77"/>
      <c r="H158" s="77">
        <v>16000</v>
      </c>
      <c r="I158" s="77">
        <v>6</v>
      </c>
      <c r="J158" s="77">
        <v>0</v>
      </c>
    </row>
    <row r="159" spans="1:10" x14ac:dyDescent="0.25">
      <c r="A159" s="66">
        <f t="shared" si="13"/>
        <v>160007</v>
      </c>
      <c r="B159" s="66">
        <v>1</v>
      </c>
      <c r="C159" s="66" t="s">
        <v>97</v>
      </c>
      <c r="D159" s="66">
        <v>7</v>
      </c>
      <c r="E159" s="66">
        <v>109</v>
      </c>
      <c r="F159" s="77" t="s">
        <v>97</v>
      </c>
      <c r="G159" s="77"/>
      <c r="H159" s="77">
        <v>16000</v>
      </c>
      <c r="I159" s="77">
        <v>7</v>
      </c>
      <c r="J159" s="77">
        <v>0</v>
      </c>
    </row>
    <row r="160" spans="1:10" x14ac:dyDescent="0.25">
      <c r="A160" s="66">
        <f t="shared" si="13"/>
        <v>160008</v>
      </c>
      <c r="B160" s="66">
        <v>1</v>
      </c>
      <c r="C160" s="66" t="s">
        <v>97</v>
      </c>
      <c r="D160" s="66">
        <v>8</v>
      </c>
      <c r="E160" s="66">
        <v>161</v>
      </c>
      <c r="F160" s="77" t="s">
        <v>97</v>
      </c>
      <c r="G160" s="77"/>
      <c r="H160" s="77">
        <v>16000</v>
      </c>
      <c r="I160" s="77">
        <v>8</v>
      </c>
      <c r="J160" s="77">
        <v>0</v>
      </c>
    </row>
    <row r="161" spans="1:10" x14ac:dyDescent="0.25">
      <c r="A161" s="66">
        <f t="shared" si="13"/>
        <v>160009</v>
      </c>
      <c r="B161" s="66">
        <v>1</v>
      </c>
      <c r="C161" s="66" t="s">
        <v>97</v>
      </c>
      <c r="D161" s="66">
        <v>9</v>
      </c>
      <c r="E161" s="66">
        <v>239</v>
      </c>
      <c r="F161" s="77" t="s">
        <v>97</v>
      </c>
      <c r="G161" s="77"/>
      <c r="H161" s="77">
        <v>16000</v>
      </c>
      <c r="I161" s="77">
        <v>9</v>
      </c>
      <c r="J161" s="77">
        <v>0</v>
      </c>
    </row>
    <row r="162" spans="1:10" x14ac:dyDescent="0.25">
      <c r="A162" s="66">
        <f t="shared" si="13"/>
        <v>160010</v>
      </c>
      <c r="B162" s="66">
        <v>1</v>
      </c>
      <c r="C162" s="66" t="s">
        <v>97</v>
      </c>
      <c r="D162" s="66">
        <v>10</v>
      </c>
      <c r="E162" s="66">
        <v>359</v>
      </c>
      <c r="F162" s="77" t="s">
        <v>97</v>
      </c>
      <c r="G162" s="77"/>
      <c r="H162" s="77">
        <v>16000</v>
      </c>
      <c r="I162" s="77">
        <v>10</v>
      </c>
      <c r="J162" s="77">
        <v>0</v>
      </c>
    </row>
    <row r="163" spans="1:10" x14ac:dyDescent="0.25">
      <c r="A163" s="27">
        <f t="shared" ref="A163:A172" si="15">H163*10+I163</f>
        <v>161001</v>
      </c>
      <c r="B163" s="27">
        <v>1</v>
      </c>
      <c r="C163" s="28" t="s">
        <v>111</v>
      </c>
      <c r="D163" s="27">
        <v>1</v>
      </c>
      <c r="E163" s="27">
        <v>112</v>
      </c>
      <c r="F163" s="28" t="s">
        <v>111</v>
      </c>
      <c r="G163" s="83"/>
      <c r="H163" s="83">
        <v>16100</v>
      </c>
      <c r="I163" s="83">
        <v>1</v>
      </c>
      <c r="J163" s="83">
        <v>0</v>
      </c>
    </row>
    <row r="164" spans="1:10" x14ac:dyDescent="0.25">
      <c r="A164" s="27">
        <f t="shared" si="15"/>
        <v>161002</v>
      </c>
      <c r="B164" s="27">
        <v>1</v>
      </c>
      <c r="C164" s="28" t="s">
        <v>111</v>
      </c>
      <c r="D164" s="27">
        <v>2</v>
      </c>
      <c r="E164" s="27">
        <v>231</v>
      </c>
      <c r="F164" s="28" t="s">
        <v>111</v>
      </c>
      <c r="G164" s="83"/>
      <c r="H164" s="83">
        <v>16100</v>
      </c>
      <c r="I164" s="83">
        <v>2</v>
      </c>
      <c r="J164" s="83">
        <v>0</v>
      </c>
    </row>
    <row r="165" spans="1:10" x14ac:dyDescent="0.25">
      <c r="A165" s="27">
        <f t="shared" si="15"/>
        <v>161003</v>
      </c>
      <c r="B165" s="27">
        <v>1</v>
      </c>
      <c r="C165" s="28" t="s">
        <v>111</v>
      </c>
      <c r="D165" s="27">
        <v>3</v>
      </c>
      <c r="E165" s="27">
        <v>392</v>
      </c>
      <c r="F165" s="28" t="s">
        <v>111</v>
      </c>
      <c r="G165" s="83"/>
      <c r="H165" s="83">
        <v>16100</v>
      </c>
      <c r="I165" s="83">
        <v>3</v>
      </c>
      <c r="J165" s="83">
        <v>0</v>
      </c>
    </row>
    <row r="166" spans="1:10" x14ac:dyDescent="0.25">
      <c r="A166" s="27">
        <f t="shared" si="15"/>
        <v>161004</v>
      </c>
      <c r="B166" s="27">
        <v>1</v>
      </c>
      <c r="C166" s="28" t="s">
        <v>111</v>
      </c>
      <c r="D166" s="27">
        <v>4</v>
      </c>
      <c r="E166" s="27">
        <v>660</v>
      </c>
      <c r="F166" s="28" t="s">
        <v>111</v>
      </c>
      <c r="G166" s="83"/>
      <c r="H166" s="83">
        <v>16100</v>
      </c>
      <c r="I166" s="83">
        <v>4</v>
      </c>
      <c r="J166" s="83">
        <v>0</v>
      </c>
    </row>
    <row r="167" spans="1:10" x14ac:dyDescent="0.25">
      <c r="A167" s="27">
        <f t="shared" si="15"/>
        <v>161005</v>
      </c>
      <c r="B167" s="27">
        <v>1</v>
      </c>
      <c r="C167" s="28" t="s">
        <v>111</v>
      </c>
      <c r="D167" s="27">
        <v>5</v>
      </c>
      <c r="E167" s="28" t="s">
        <v>113</v>
      </c>
      <c r="F167" s="28" t="s">
        <v>111</v>
      </c>
      <c r="G167" s="83"/>
      <c r="H167" s="83">
        <v>16100</v>
      </c>
      <c r="I167" s="83">
        <v>5</v>
      </c>
      <c r="J167" s="83">
        <v>0</v>
      </c>
    </row>
    <row r="168" spans="1:10" x14ac:dyDescent="0.25">
      <c r="A168" s="27">
        <f t="shared" si="15"/>
        <v>161006</v>
      </c>
      <c r="B168" s="27">
        <v>1</v>
      </c>
      <c r="C168" s="28" t="s">
        <v>111</v>
      </c>
      <c r="D168" s="27">
        <v>6</v>
      </c>
      <c r="E168" s="27">
        <v>1907</v>
      </c>
      <c r="F168" s="28" t="s">
        <v>111</v>
      </c>
      <c r="G168" s="83"/>
      <c r="H168" s="83">
        <v>16100</v>
      </c>
      <c r="I168" s="83">
        <v>6</v>
      </c>
      <c r="J168" s="83">
        <v>0</v>
      </c>
    </row>
    <row r="169" spans="1:10" x14ac:dyDescent="0.25">
      <c r="A169" s="27">
        <f t="shared" si="15"/>
        <v>161007</v>
      </c>
      <c r="B169" s="27">
        <v>1</v>
      </c>
      <c r="C169" s="28" t="s">
        <v>111</v>
      </c>
      <c r="D169" s="27">
        <v>7</v>
      </c>
      <c r="E169" s="27">
        <v>3205</v>
      </c>
      <c r="F169" s="28" t="s">
        <v>111</v>
      </c>
      <c r="G169" s="83"/>
      <c r="H169" s="83">
        <v>16100</v>
      </c>
      <c r="I169" s="83">
        <v>7</v>
      </c>
      <c r="J169" s="83">
        <v>0</v>
      </c>
    </row>
    <row r="170" spans="1:10" x14ac:dyDescent="0.25">
      <c r="A170" s="27">
        <f t="shared" si="15"/>
        <v>161008</v>
      </c>
      <c r="B170" s="27">
        <v>1</v>
      </c>
      <c r="C170" s="28" t="s">
        <v>111</v>
      </c>
      <c r="D170" s="27">
        <v>8</v>
      </c>
      <c r="E170" s="27">
        <v>5369</v>
      </c>
      <c r="F170" s="28" t="s">
        <v>111</v>
      </c>
      <c r="G170" s="83"/>
      <c r="H170" s="83">
        <v>16100</v>
      </c>
      <c r="I170" s="83">
        <v>8</v>
      </c>
      <c r="J170" s="83">
        <v>0</v>
      </c>
    </row>
    <row r="171" spans="1:10" x14ac:dyDescent="0.25">
      <c r="A171" s="27">
        <f t="shared" si="15"/>
        <v>161009</v>
      </c>
      <c r="B171" s="27">
        <v>1</v>
      </c>
      <c r="C171" s="28" t="s">
        <v>111</v>
      </c>
      <c r="D171" s="27">
        <v>9</v>
      </c>
      <c r="E171" s="27">
        <v>8976</v>
      </c>
      <c r="F171" s="28" t="s">
        <v>111</v>
      </c>
      <c r="G171" s="83"/>
      <c r="H171" s="83">
        <v>16100</v>
      </c>
      <c r="I171" s="83">
        <v>9</v>
      </c>
      <c r="J171" s="83">
        <v>0</v>
      </c>
    </row>
    <row r="172" spans="1:10" x14ac:dyDescent="0.25">
      <c r="A172" s="27">
        <f t="shared" si="15"/>
        <v>161010</v>
      </c>
      <c r="B172" s="27">
        <v>1</v>
      </c>
      <c r="C172" s="28" t="s">
        <v>111</v>
      </c>
      <c r="D172" s="27">
        <v>10</v>
      </c>
      <c r="E172" s="27">
        <v>14986</v>
      </c>
      <c r="F172" s="28" t="s">
        <v>111</v>
      </c>
      <c r="G172" s="83"/>
      <c r="H172" s="83">
        <v>16100</v>
      </c>
      <c r="I172" s="83">
        <v>10</v>
      </c>
      <c r="J172" s="83">
        <v>0</v>
      </c>
    </row>
    <row r="173" spans="1:10" x14ac:dyDescent="0.25">
      <c r="A173" s="67">
        <f t="shared" ref="A173:A182" si="16">H173*10+I173</f>
        <v>170001</v>
      </c>
      <c r="B173" s="67">
        <v>1</v>
      </c>
      <c r="C173" s="67" t="s">
        <v>98</v>
      </c>
      <c r="D173" s="67">
        <v>1</v>
      </c>
      <c r="E173" s="67">
        <v>35</v>
      </c>
      <c r="F173" s="78" t="s">
        <v>99</v>
      </c>
      <c r="G173" s="79"/>
      <c r="H173" s="79">
        <v>17000</v>
      </c>
      <c r="I173" s="79">
        <v>1</v>
      </c>
      <c r="J173" s="79">
        <v>0</v>
      </c>
    </row>
    <row r="174" spans="1:10" x14ac:dyDescent="0.25">
      <c r="A174" s="67">
        <f t="shared" si="16"/>
        <v>170002</v>
      </c>
      <c r="B174" s="67">
        <v>1</v>
      </c>
      <c r="C174" s="67" t="s">
        <v>98</v>
      </c>
      <c r="D174" s="67">
        <v>2</v>
      </c>
      <c r="E174" s="67">
        <v>46</v>
      </c>
      <c r="F174" s="78" t="s">
        <v>99</v>
      </c>
      <c r="G174" s="79"/>
      <c r="H174" s="79">
        <v>17000</v>
      </c>
      <c r="I174" s="79">
        <v>2</v>
      </c>
      <c r="J174" s="79">
        <v>0</v>
      </c>
    </row>
    <row r="175" spans="1:10" x14ac:dyDescent="0.25">
      <c r="A175" s="67">
        <f t="shared" si="16"/>
        <v>170003</v>
      </c>
      <c r="B175" s="67">
        <v>1</v>
      </c>
      <c r="C175" s="67" t="s">
        <v>98</v>
      </c>
      <c r="D175" s="67">
        <v>3</v>
      </c>
      <c r="E175" s="67">
        <v>52</v>
      </c>
      <c r="F175" s="78" t="s">
        <v>99</v>
      </c>
      <c r="G175" s="79"/>
      <c r="H175" s="79">
        <v>17000</v>
      </c>
      <c r="I175" s="79">
        <v>3</v>
      </c>
      <c r="J175" s="79">
        <v>0</v>
      </c>
    </row>
    <row r="176" spans="1:10" x14ac:dyDescent="0.25">
      <c r="A176" s="67">
        <f t="shared" si="16"/>
        <v>170004</v>
      </c>
      <c r="B176" s="67">
        <v>1</v>
      </c>
      <c r="C176" s="67" t="s">
        <v>98</v>
      </c>
      <c r="D176" s="67">
        <v>4</v>
      </c>
      <c r="E176" s="67">
        <v>66</v>
      </c>
      <c r="F176" s="78" t="s">
        <v>99</v>
      </c>
      <c r="G176" s="79"/>
      <c r="H176" s="79">
        <v>17000</v>
      </c>
      <c r="I176" s="79">
        <v>4</v>
      </c>
      <c r="J176" s="79">
        <v>0</v>
      </c>
    </row>
    <row r="177" spans="1:10" x14ac:dyDescent="0.25">
      <c r="A177" s="67">
        <f t="shared" si="16"/>
        <v>170005</v>
      </c>
      <c r="B177" s="67">
        <v>1</v>
      </c>
      <c r="C177" s="67" t="s">
        <v>98</v>
      </c>
      <c r="D177" s="67">
        <v>5</v>
      </c>
      <c r="E177" s="67">
        <v>90</v>
      </c>
      <c r="F177" s="78" t="s">
        <v>99</v>
      </c>
      <c r="G177" s="79"/>
      <c r="H177" s="79">
        <v>17000</v>
      </c>
      <c r="I177" s="79">
        <v>5</v>
      </c>
      <c r="J177" s="79">
        <v>0</v>
      </c>
    </row>
    <row r="178" spans="1:10" x14ac:dyDescent="0.25">
      <c r="A178" s="67">
        <f t="shared" si="16"/>
        <v>170006</v>
      </c>
      <c r="B178" s="67">
        <v>1</v>
      </c>
      <c r="C178" s="67" t="s">
        <v>98</v>
      </c>
      <c r="D178" s="67">
        <v>6</v>
      </c>
      <c r="E178" s="67">
        <v>127</v>
      </c>
      <c r="F178" s="78" t="s">
        <v>99</v>
      </c>
      <c r="G178" s="79"/>
      <c r="H178" s="79">
        <v>17000</v>
      </c>
      <c r="I178" s="79">
        <v>6</v>
      </c>
      <c r="J178" s="79">
        <v>0</v>
      </c>
    </row>
    <row r="179" spans="1:10" x14ac:dyDescent="0.25">
      <c r="A179" s="67">
        <f t="shared" si="16"/>
        <v>170007</v>
      </c>
      <c r="B179" s="67">
        <v>1</v>
      </c>
      <c r="C179" s="67" t="s">
        <v>98</v>
      </c>
      <c r="D179" s="67">
        <v>7</v>
      </c>
      <c r="E179" s="67">
        <v>183</v>
      </c>
      <c r="F179" s="78" t="s">
        <v>99</v>
      </c>
      <c r="G179" s="79"/>
      <c r="H179" s="79">
        <v>17000</v>
      </c>
      <c r="I179" s="79">
        <v>7</v>
      </c>
      <c r="J179" s="79">
        <v>0</v>
      </c>
    </row>
    <row r="180" spans="1:10" x14ac:dyDescent="0.25">
      <c r="A180" s="67">
        <f t="shared" si="16"/>
        <v>170008</v>
      </c>
      <c r="B180" s="67">
        <v>1</v>
      </c>
      <c r="C180" s="67" t="s">
        <v>98</v>
      </c>
      <c r="D180" s="67">
        <v>8</v>
      </c>
      <c r="E180" s="67">
        <v>268</v>
      </c>
      <c r="F180" s="78" t="s">
        <v>99</v>
      </c>
      <c r="G180" s="79"/>
      <c r="H180" s="79">
        <v>17000</v>
      </c>
      <c r="I180" s="79">
        <v>8</v>
      </c>
      <c r="J180" s="79">
        <v>0</v>
      </c>
    </row>
    <row r="181" spans="1:10" x14ac:dyDescent="0.25">
      <c r="A181" s="67">
        <f t="shared" si="16"/>
        <v>170009</v>
      </c>
      <c r="B181" s="67">
        <v>1</v>
      </c>
      <c r="C181" s="67" t="s">
        <v>98</v>
      </c>
      <c r="D181" s="67">
        <v>9</v>
      </c>
      <c r="E181" s="67">
        <v>398</v>
      </c>
      <c r="F181" s="78" t="s">
        <v>99</v>
      </c>
      <c r="G181" s="79"/>
      <c r="H181" s="79">
        <v>17000</v>
      </c>
      <c r="I181" s="79">
        <v>9</v>
      </c>
      <c r="J181" s="79">
        <v>0</v>
      </c>
    </row>
    <row r="182" spans="1:10" x14ac:dyDescent="0.25">
      <c r="A182" s="67">
        <f t="shared" si="16"/>
        <v>170010</v>
      </c>
      <c r="B182" s="67">
        <v>1</v>
      </c>
      <c r="C182" s="67" t="s">
        <v>98</v>
      </c>
      <c r="D182" s="67">
        <v>10</v>
      </c>
      <c r="E182" s="67">
        <v>599</v>
      </c>
      <c r="F182" s="78" t="s">
        <v>99</v>
      </c>
      <c r="G182" s="79"/>
      <c r="H182" s="79">
        <v>17000</v>
      </c>
      <c r="I182" s="79">
        <v>10</v>
      </c>
      <c r="J182" s="79">
        <v>0</v>
      </c>
    </row>
    <row r="183" spans="1:10" x14ac:dyDescent="0.25">
      <c r="A183" s="58">
        <v>201010301</v>
      </c>
      <c r="B183" s="11">
        <v>1</v>
      </c>
      <c r="C183" s="12" t="s">
        <v>100</v>
      </c>
      <c r="D183" s="11">
        <f t="shared" ref="D183:D193" si="17">D173</f>
        <v>1</v>
      </c>
      <c r="E183" s="51">
        <v>3.0000000000000001E-3</v>
      </c>
      <c r="F183" s="12"/>
      <c r="G183" s="12"/>
      <c r="H183" s="12"/>
      <c r="I183" s="12">
        <f t="shared" ref="I183:I192" si="18">E183*J183</f>
        <v>1.4999999999999999E-2</v>
      </c>
      <c r="J183" s="12">
        <v>5</v>
      </c>
    </row>
    <row r="184" spans="1:10" x14ac:dyDescent="0.25">
      <c r="A184" s="58">
        <v>201010302</v>
      </c>
      <c r="B184" s="11">
        <v>1</v>
      </c>
      <c r="C184" s="12" t="s">
        <v>100</v>
      </c>
      <c r="D184" s="11">
        <f t="shared" si="17"/>
        <v>2</v>
      </c>
      <c r="E184" s="51">
        <v>3.0000000000000001E-3</v>
      </c>
      <c r="F184" s="12"/>
      <c r="G184" s="12"/>
      <c r="H184" s="12"/>
      <c r="I184" s="12">
        <f t="shared" si="18"/>
        <v>0.03</v>
      </c>
      <c r="J184" s="12">
        <v>10</v>
      </c>
    </row>
    <row r="185" spans="1:10" x14ac:dyDescent="0.25">
      <c r="A185" s="58">
        <v>201010303</v>
      </c>
      <c r="B185" s="75">
        <v>1</v>
      </c>
      <c r="C185" s="76" t="s">
        <v>100</v>
      </c>
      <c r="D185" s="75">
        <f t="shared" si="17"/>
        <v>3</v>
      </c>
      <c r="E185" s="51">
        <v>3.0000000000000001E-3</v>
      </c>
      <c r="F185" s="76"/>
      <c r="G185" s="76"/>
      <c r="H185" s="76"/>
      <c r="I185" s="76">
        <f t="shared" si="18"/>
        <v>4.4999999999999998E-2</v>
      </c>
      <c r="J185" s="12">
        <v>15</v>
      </c>
    </row>
    <row r="186" spans="1:10" x14ac:dyDescent="0.25">
      <c r="A186" s="58">
        <v>201010304</v>
      </c>
      <c r="B186" s="11">
        <v>1</v>
      </c>
      <c r="C186" s="12" t="s">
        <v>100</v>
      </c>
      <c r="D186" s="11">
        <f t="shared" si="17"/>
        <v>4</v>
      </c>
      <c r="E186" s="51">
        <v>3.0000000000000001E-3</v>
      </c>
      <c r="F186" s="12"/>
      <c r="G186" s="12"/>
      <c r="H186" s="12"/>
      <c r="I186" s="12">
        <f t="shared" si="18"/>
        <v>0.06</v>
      </c>
      <c r="J186" s="12">
        <v>20</v>
      </c>
    </row>
    <row r="187" spans="1:10" x14ac:dyDescent="0.25">
      <c r="A187" s="58">
        <v>201010305</v>
      </c>
      <c r="B187" s="11">
        <v>1</v>
      </c>
      <c r="C187" s="12" t="s">
        <v>100</v>
      </c>
      <c r="D187" s="11">
        <f t="shared" si="17"/>
        <v>5</v>
      </c>
      <c r="E187" s="51">
        <v>3.0000000000000001E-3</v>
      </c>
      <c r="F187" s="12"/>
      <c r="G187" s="12"/>
      <c r="H187" s="12"/>
      <c r="I187" s="12">
        <f t="shared" si="18"/>
        <v>7.4999999999999997E-2</v>
      </c>
      <c r="J187" s="12">
        <v>25</v>
      </c>
    </row>
    <row r="188" spans="1:10" x14ac:dyDescent="0.25">
      <c r="A188" s="58">
        <v>201010306</v>
      </c>
      <c r="B188" s="11">
        <v>1</v>
      </c>
      <c r="C188" s="12" t="s">
        <v>100</v>
      </c>
      <c r="D188" s="11">
        <f t="shared" si="17"/>
        <v>6</v>
      </c>
      <c r="E188" s="51">
        <v>3.0000000000000001E-3</v>
      </c>
      <c r="F188" s="12"/>
      <c r="G188" s="12"/>
      <c r="H188" s="12"/>
      <c r="I188" s="12">
        <f t="shared" si="18"/>
        <v>0.09</v>
      </c>
      <c r="J188" s="12">
        <v>30</v>
      </c>
    </row>
    <row r="189" spans="1:10" x14ac:dyDescent="0.25">
      <c r="A189" s="58">
        <v>201010307</v>
      </c>
      <c r="B189" s="11">
        <v>1</v>
      </c>
      <c r="C189" s="12" t="s">
        <v>100</v>
      </c>
      <c r="D189" s="11">
        <f t="shared" si="17"/>
        <v>7</v>
      </c>
      <c r="E189" s="51">
        <v>3.0000000000000001E-3</v>
      </c>
      <c r="F189" s="12"/>
      <c r="G189" s="12"/>
      <c r="H189" s="12"/>
      <c r="I189" s="12">
        <f t="shared" si="18"/>
        <v>0.105</v>
      </c>
      <c r="J189" s="12">
        <v>35</v>
      </c>
    </row>
    <row r="190" spans="1:10" x14ac:dyDescent="0.25">
      <c r="A190" s="58">
        <v>201010308</v>
      </c>
      <c r="B190" s="11">
        <v>1</v>
      </c>
      <c r="C190" s="12" t="s">
        <v>100</v>
      </c>
      <c r="D190" s="11">
        <f t="shared" si="17"/>
        <v>8</v>
      </c>
      <c r="E190" s="51">
        <v>3.0000000000000001E-3</v>
      </c>
      <c r="F190" s="12"/>
      <c r="G190" s="12"/>
      <c r="H190" s="12"/>
      <c r="I190" s="12">
        <f t="shared" si="18"/>
        <v>0.12</v>
      </c>
      <c r="J190" s="12">
        <v>40</v>
      </c>
    </row>
    <row r="191" spans="1:10" x14ac:dyDescent="0.25">
      <c r="A191" s="58">
        <v>201010309</v>
      </c>
      <c r="B191" s="11">
        <v>1</v>
      </c>
      <c r="C191" s="12" t="s">
        <v>100</v>
      </c>
      <c r="D191" s="11">
        <f t="shared" si="17"/>
        <v>9</v>
      </c>
      <c r="E191" s="51">
        <v>3.0000000000000001E-3</v>
      </c>
      <c r="F191" s="12"/>
      <c r="G191" s="12"/>
      <c r="H191" s="12"/>
      <c r="I191" s="12">
        <f t="shared" si="18"/>
        <v>0.13500000000000001</v>
      </c>
      <c r="J191" s="12">
        <v>45</v>
      </c>
    </row>
    <row r="192" spans="1:10" x14ac:dyDescent="0.25">
      <c r="A192" s="58">
        <v>201010310</v>
      </c>
      <c r="B192" s="11">
        <v>1</v>
      </c>
      <c r="C192" s="12" t="s">
        <v>100</v>
      </c>
      <c r="D192" s="11">
        <f t="shared" si="17"/>
        <v>10</v>
      </c>
      <c r="E192" s="51">
        <v>3.0000000000000001E-3</v>
      </c>
      <c r="F192" s="12"/>
      <c r="G192" s="12"/>
      <c r="H192" s="12"/>
      <c r="I192" s="12">
        <f t="shared" si="18"/>
        <v>0.15</v>
      </c>
      <c r="J192" s="12">
        <v>50</v>
      </c>
    </row>
    <row r="193" spans="1:10" x14ac:dyDescent="0.25">
      <c r="A193" s="30">
        <v>201040201</v>
      </c>
      <c r="B193" s="30">
        <v>1</v>
      </c>
      <c r="C193" s="31" t="s">
        <v>101</v>
      </c>
      <c r="D193" s="30">
        <f t="shared" si="17"/>
        <v>1</v>
      </c>
      <c r="E193" s="40">
        <v>0.2</v>
      </c>
      <c r="F193" s="40"/>
      <c r="G193" s="40"/>
      <c r="H193" s="40"/>
      <c r="I193" s="40"/>
      <c r="J193" s="40"/>
    </row>
    <row r="194" spans="1:10" x14ac:dyDescent="0.25">
      <c r="A194" s="30">
        <v>201040202</v>
      </c>
      <c r="B194" s="30">
        <v>1</v>
      </c>
      <c r="C194" s="31" t="s">
        <v>101</v>
      </c>
      <c r="D194" s="30">
        <f t="shared" ref="D194:D222" si="19">D184</f>
        <v>2</v>
      </c>
      <c r="E194" s="40">
        <v>0.2</v>
      </c>
      <c r="F194" s="40"/>
      <c r="G194" s="40"/>
      <c r="H194" s="40"/>
      <c r="I194" s="40"/>
      <c r="J194" s="40"/>
    </row>
    <row r="195" spans="1:10" x14ac:dyDescent="0.25">
      <c r="A195" s="30">
        <v>201040203</v>
      </c>
      <c r="B195" s="30">
        <v>1</v>
      </c>
      <c r="C195" s="31" t="s">
        <v>101</v>
      </c>
      <c r="D195" s="30">
        <f t="shared" si="19"/>
        <v>3</v>
      </c>
      <c r="E195" s="40">
        <v>0.2</v>
      </c>
      <c r="F195" s="40"/>
      <c r="G195" s="40"/>
      <c r="H195" s="40"/>
      <c r="I195" s="40"/>
      <c r="J195" s="40"/>
    </row>
    <row r="196" spans="1:10" x14ac:dyDescent="0.25">
      <c r="A196" s="30">
        <v>201040204</v>
      </c>
      <c r="B196" s="30">
        <v>1</v>
      </c>
      <c r="C196" s="31" t="s">
        <v>101</v>
      </c>
      <c r="D196" s="30">
        <f t="shared" si="19"/>
        <v>4</v>
      </c>
      <c r="E196" s="40">
        <v>0.2</v>
      </c>
      <c r="F196" s="40"/>
      <c r="G196" s="40"/>
      <c r="H196" s="40"/>
      <c r="I196" s="40"/>
      <c r="J196" s="40"/>
    </row>
    <row r="197" spans="1:10" x14ac:dyDescent="0.25">
      <c r="A197" s="30">
        <v>201040205</v>
      </c>
      <c r="B197" s="30">
        <v>1</v>
      </c>
      <c r="C197" s="31" t="s">
        <v>101</v>
      </c>
      <c r="D197" s="30">
        <f t="shared" si="19"/>
        <v>5</v>
      </c>
      <c r="E197" s="40">
        <v>0.23</v>
      </c>
      <c r="F197" s="40"/>
      <c r="G197" s="40"/>
      <c r="H197" s="40"/>
      <c r="I197" s="40"/>
      <c r="J197" s="40"/>
    </row>
    <row r="198" spans="1:10" x14ac:dyDescent="0.25">
      <c r="A198" s="30">
        <v>201040206</v>
      </c>
      <c r="B198" s="30">
        <v>1</v>
      </c>
      <c r="C198" s="31" t="s">
        <v>101</v>
      </c>
      <c r="D198" s="30">
        <f t="shared" si="19"/>
        <v>6</v>
      </c>
      <c r="E198" s="40">
        <v>0.25</v>
      </c>
      <c r="F198" s="40"/>
      <c r="G198" s="40"/>
      <c r="H198" s="40"/>
      <c r="I198" s="40"/>
      <c r="J198" s="40"/>
    </row>
    <row r="199" spans="1:10" x14ac:dyDescent="0.25">
      <c r="A199" s="30">
        <v>201040207</v>
      </c>
      <c r="B199" s="30">
        <v>1</v>
      </c>
      <c r="C199" s="31" t="s">
        <v>101</v>
      </c>
      <c r="D199" s="30">
        <f t="shared" si="19"/>
        <v>7</v>
      </c>
      <c r="E199" s="40">
        <v>0.25</v>
      </c>
      <c r="F199" s="40"/>
      <c r="G199" s="40"/>
      <c r="H199" s="40"/>
      <c r="I199" s="40"/>
      <c r="J199" s="40"/>
    </row>
    <row r="200" spans="1:10" x14ac:dyDescent="0.25">
      <c r="A200" s="30">
        <v>201040208</v>
      </c>
      <c r="B200" s="30">
        <v>1</v>
      </c>
      <c r="C200" s="31" t="s">
        <v>101</v>
      </c>
      <c r="D200" s="30">
        <f t="shared" si="19"/>
        <v>8</v>
      </c>
      <c r="E200" s="40">
        <v>0.26</v>
      </c>
      <c r="F200" s="40"/>
      <c r="G200" s="40"/>
      <c r="H200" s="40"/>
      <c r="I200" s="40"/>
      <c r="J200" s="40"/>
    </row>
    <row r="201" spans="1:10" x14ac:dyDescent="0.25">
      <c r="A201" s="30">
        <v>201040209</v>
      </c>
      <c r="B201" s="30">
        <v>1</v>
      </c>
      <c r="C201" s="31" t="s">
        <v>101</v>
      </c>
      <c r="D201" s="30">
        <f t="shared" si="19"/>
        <v>9</v>
      </c>
      <c r="E201" s="40">
        <v>0.28000000000000003</v>
      </c>
      <c r="F201" s="40"/>
      <c r="G201" s="40"/>
      <c r="H201" s="40"/>
      <c r="I201" s="40"/>
      <c r="J201" s="40"/>
    </row>
    <row r="202" spans="1:10" x14ac:dyDescent="0.25">
      <c r="A202" s="30">
        <v>201040210</v>
      </c>
      <c r="B202" s="30">
        <v>1</v>
      </c>
      <c r="C202" s="31" t="s">
        <v>101</v>
      </c>
      <c r="D202" s="30">
        <f t="shared" si="19"/>
        <v>10</v>
      </c>
      <c r="E202" s="40">
        <v>0.27</v>
      </c>
      <c r="F202" s="40"/>
      <c r="G202" s="40"/>
      <c r="H202" s="40"/>
      <c r="I202" s="40"/>
      <c r="J202" s="40"/>
    </row>
    <row r="203" spans="1:10" x14ac:dyDescent="0.25">
      <c r="A203" s="27">
        <v>201060201</v>
      </c>
      <c r="B203" s="27">
        <v>1</v>
      </c>
      <c r="C203" s="27" t="s">
        <v>102</v>
      </c>
      <c r="D203" s="27">
        <f>D193</f>
        <v>1</v>
      </c>
      <c r="E203" s="27">
        <v>0.84000000000000008</v>
      </c>
      <c r="F203" s="27"/>
      <c r="G203" s="27"/>
      <c r="H203" s="27"/>
      <c r="I203" s="27">
        <v>4.2</v>
      </c>
      <c r="J203" s="27">
        <v>5</v>
      </c>
    </row>
    <row r="204" spans="1:10" x14ac:dyDescent="0.25">
      <c r="A204" s="27">
        <v>201060202</v>
      </c>
      <c r="B204" s="27">
        <v>1</v>
      </c>
      <c r="C204" s="27" t="s">
        <v>102</v>
      </c>
      <c r="D204" s="27">
        <f t="shared" si="19"/>
        <v>2</v>
      </c>
      <c r="E204" s="27">
        <v>0.78</v>
      </c>
      <c r="F204" s="27"/>
      <c r="G204" s="27"/>
      <c r="H204" s="27"/>
      <c r="I204" s="27">
        <v>7.8</v>
      </c>
      <c r="J204" s="27">
        <v>10</v>
      </c>
    </row>
    <row r="205" spans="1:10" x14ac:dyDescent="0.25">
      <c r="A205" s="27">
        <v>201060203</v>
      </c>
      <c r="B205" s="27">
        <v>1</v>
      </c>
      <c r="C205" s="27" t="s">
        <v>102</v>
      </c>
      <c r="D205" s="27">
        <f t="shared" si="19"/>
        <v>3</v>
      </c>
      <c r="E205" s="27">
        <v>0.76</v>
      </c>
      <c r="F205" s="27"/>
      <c r="G205" s="27"/>
      <c r="H205" s="27"/>
      <c r="I205" s="27">
        <v>11.4</v>
      </c>
      <c r="J205" s="27">
        <v>15</v>
      </c>
    </row>
    <row r="206" spans="1:10" x14ac:dyDescent="0.25">
      <c r="A206" s="27">
        <v>201060204</v>
      </c>
      <c r="B206" s="27">
        <v>1</v>
      </c>
      <c r="C206" s="27" t="s">
        <v>102</v>
      </c>
      <c r="D206" s="27">
        <f t="shared" si="19"/>
        <v>4</v>
      </c>
      <c r="E206" s="27">
        <v>0.9</v>
      </c>
      <c r="F206" s="27"/>
      <c r="G206" s="27"/>
      <c r="H206" s="27"/>
      <c r="I206" s="27">
        <v>18</v>
      </c>
      <c r="J206" s="27">
        <v>20</v>
      </c>
    </row>
    <row r="207" spans="1:10" x14ac:dyDescent="0.25">
      <c r="A207" s="27">
        <v>201060205</v>
      </c>
      <c r="B207" s="27">
        <v>1</v>
      </c>
      <c r="C207" s="27" t="s">
        <v>102</v>
      </c>
      <c r="D207" s="27">
        <f t="shared" si="19"/>
        <v>5</v>
      </c>
      <c r="E207" s="27">
        <v>1.1499999999999999</v>
      </c>
      <c r="F207" s="27"/>
      <c r="G207" s="27"/>
      <c r="H207" s="27"/>
      <c r="I207" s="27">
        <v>28.799999999999997</v>
      </c>
      <c r="J207" s="27">
        <v>25</v>
      </c>
    </row>
    <row r="208" spans="1:10" x14ac:dyDescent="0.25">
      <c r="A208" s="27">
        <v>201060206</v>
      </c>
      <c r="B208" s="27">
        <v>1</v>
      </c>
      <c r="C208" s="27" t="s">
        <v>102</v>
      </c>
      <c r="D208" s="27">
        <f t="shared" si="19"/>
        <v>6</v>
      </c>
      <c r="E208" s="27">
        <v>1.5399999999999998</v>
      </c>
      <c r="F208" s="27"/>
      <c r="G208" s="27"/>
      <c r="H208" s="27"/>
      <c r="I208" s="27">
        <v>46.199999999999996</v>
      </c>
      <c r="J208" s="27">
        <v>30</v>
      </c>
    </row>
    <row r="209" spans="1:13" x14ac:dyDescent="0.25">
      <c r="A209" s="27">
        <v>201060207</v>
      </c>
      <c r="B209" s="27">
        <v>1</v>
      </c>
      <c r="C209" s="27" t="s">
        <v>102</v>
      </c>
      <c r="D209" s="27">
        <f t="shared" si="19"/>
        <v>7</v>
      </c>
      <c r="E209" s="27">
        <v>2</v>
      </c>
      <c r="F209" s="27"/>
      <c r="G209" s="27"/>
      <c r="H209" s="27"/>
      <c r="I209" s="27">
        <v>74.399999999999991</v>
      </c>
      <c r="J209" s="27">
        <v>35</v>
      </c>
    </row>
    <row r="210" spans="1:13" x14ac:dyDescent="0.25">
      <c r="A210" s="27">
        <v>201060208</v>
      </c>
      <c r="B210" s="27">
        <v>1</v>
      </c>
      <c r="C210" s="27" t="s">
        <v>102</v>
      </c>
      <c r="D210" s="27">
        <f t="shared" si="19"/>
        <v>8</v>
      </c>
      <c r="E210" s="27">
        <v>3</v>
      </c>
      <c r="F210" s="27"/>
      <c r="G210" s="27"/>
      <c r="H210" s="27"/>
      <c r="I210" s="27">
        <v>120</v>
      </c>
      <c r="J210" s="27">
        <v>40</v>
      </c>
    </row>
    <row r="211" spans="1:13" x14ac:dyDescent="0.25">
      <c r="A211" s="27">
        <v>201060209</v>
      </c>
      <c r="B211" s="27">
        <v>1</v>
      </c>
      <c r="C211" s="27" t="s">
        <v>102</v>
      </c>
      <c r="D211" s="27">
        <f t="shared" si="19"/>
        <v>9</v>
      </c>
      <c r="E211" s="27">
        <v>4</v>
      </c>
      <c r="F211" s="27"/>
      <c r="G211" s="27"/>
      <c r="H211" s="27"/>
      <c r="I211" s="27">
        <v>193.79999999999998</v>
      </c>
      <c r="J211" s="27">
        <v>45</v>
      </c>
    </row>
    <row r="212" spans="1:13" x14ac:dyDescent="0.25">
      <c r="A212" s="27">
        <v>201060210</v>
      </c>
      <c r="B212" s="27">
        <v>1</v>
      </c>
      <c r="C212" s="27" t="s">
        <v>102</v>
      </c>
      <c r="D212" s="27">
        <f t="shared" si="19"/>
        <v>10</v>
      </c>
      <c r="E212" s="27">
        <v>6</v>
      </c>
      <c r="F212" s="27"/>
      <c r="G212" s="27"/>
      <c r="H212" s="27"/>
      <c r="I212" s="27">
        <v>313.2</v>
      </c>
      <c r="J212" s="27">
        <v>50</v>
      </c>
    </row>
    <row r="213" spans="1:13" x14ac:dyDescent="0.25">
      <c r="A213" s="42">
        <v>201060401</v>
      </c>
      <c r="B213" s="42">
        <v>1</v>
      </c>
      <c r="C213" s="43" t="s">
        <v>103</v>
      </c>
      <c r="D213" s="42">
        <f t="shared" si="19"/>
        <v>1</v>
      </c>
      <c r="E213" s="42">
        <v>0.35</v>
      </c>
      <c r="F213" s="45"/>
      <c r="G213" s="45"/>
      <c r="H213" s="45"/>
      <c r="I213" s="45">
        <v>1.75</v>
      </c>
      <c r="J213" s="42">
        <v>5</v>
      </c>
      <c r="K213" s="80">
        <v>357</v>
      </c>
      <c r="L213" s="45">
        <f t="shared" ref="L213:L222" si="20">K213*0.1</f>
        <v>35.700000000000003</v>
      </c>
      <c r="M213">
        <f>I213*1.2</f>
        <v>2.1</v>
      </c>
    </row>
    <row r="214" spans="1:13" x14ac:dyDescent="0.25">
      <c r="A214" s="42">
        <v>201060402</v>
      </c>
      <c r="B214" s="42">
        <v>1</v>
      </c>
      <c r="C214" s="43" t="s">
        <v>103</v>
      </c>
      <c r="D214" s="42">
        <f t="shared" si="19"/>
        <v>2</v>
      </c>
      <c r="E214" s="42">
        <v>0.21</v>
      </c>
      <c r="F214" s="45"/>
      <c r="G214" s="45"/>
      <c r="H214" s="45"/>
      <c r="I214" s="45">
        <v>2.1</v>
      </c>
      <c r="J214" s="42">
        <v>10</v>
      </c>
      <c r="K214" s="80">
        <v>476</v>
      </c>
      <c r="L214" s="45">
        <f t="shared" si="20"/>
        <v>47.6</v>
      </c>
      <c r="M214">
        <f>I214*1.2</f>
        <v>2.52</v>
      </c>
    </row>
    <row r="215" spans="1:13" x14ac:dyDescent="0.25">
      <c r="A215" s="42">
        <v>201060403</v>
      </c>
      <c r="B215" s="42">
        <v>1</v>
      </c>
      <c r="C215" s="43" t="s">
        <v>103</v>
      </c>
      <c r="D215" s="42">
        <f t="shared" si="19"/>
        <v>3</v>
      </c>
      <c r="E215" s="42">
        <v>0.17</v>
      </c>
      <c r="F215" s="45"/>
      <c r="G215" s="45"/>
      <c r="H215" s="45"/>
      <c r="I215" s="45">
        <v>2.5500000000000003</v>
      </c>
      <c r="J215" s="42">
        <v>15</v>
      </c>
      <c r="K215" s="80">
        <v>713</v>
      </c>
      <c r="L215" s="45">
        <f t="shared" si="20"/>
        <v>71.3</v>
      </c>
      <c r="M215">
        <f>I215*1.2</f>
        <v>3.06</v>
      </c>
    </row>
    <row r="216" spans="1:13" x14ac:dyDescent="0.25">
      <c r="A216" s="42">
        <v>201060404</v>
      </c>
      <c r="B216" s="42">
        <v>1</v>
      </c>
      <c r="C216" s="43" t="s">
        <v>103</v>
      </c>
      <c r="D216" s="42">
        <f t="shared" si="19"/>
        <v>4</v>
      </c>
      <c r="E216" s="42">
        <v>0.19</v>
      </c>
      <c r="F216" s="45"/>
      <c r="G216" s="45"/>
      <c r="H216" s="45"/>
      <c r="I216" s="45">
        <v>3.8</v>
      </c>
      <c r="J216" s="42">
        <v>20</v>
      </c>
      <c r="K216" s="80">
        <v>1188</v>
      </c>
      <c r="L216" s="45">
        <f t="shared" si="20"/>
        <v>118.80000000000001</v>
      </c>
      <c r="M216">
        <f t="shared" ref="M216:M222" si="21">I216*1.2</f>
        <v>4.5599999999999996</v>
      </c>
    </row>
    <row r="217" spans="1:13" x14ac:dyDescent="0.25">
      <c r="A217" s="42">
        <v>201060405</v>
      </c>
      <c r="B217" s="42">
        <v>1</v>
      </c>
      <c r="C217" s="43" t="s">
        <v>103</v>
      </c>
      <c r="D217" s="42">
        <f t="shared" si="19"/>
        <v>5</v>
      </c>
      <c r="E217" s="42">
        <v>0.21</v>
      </c>
      <c r="F217" s="45"/>
      <c r="G217" s="45"/>
      <c r="H217" s="45"/>
      <c r="I217" s="45">
        <v>5.25</v>
      </c>
      <c r="J217" s="42">
        <v>25</v>
      </c>
      <c r="K217" s="80">
        <v>1901</v>
      </c>
      <c r="L217" s="45">
        <f t="shared" si="20"/>
        <v>190.10000000000002</v>
      </c>
      <c r="M217">
        <f t="shared" si="21"/>
        <v>6.3</v>
      </c>
    </row>
    <row r="218" spans="1:13" x14ac:dyDescent="0.25">
      <c r="A218" s="42">
        <v>201060406</v>
      </c>
      <c r="B218" s="42">
        <v>1</v>
      </c>
      <c r="C218" s="43" t="s">
        <v>103</v>
      </c>
      <c r="D218" s="42">
        <f t="shared" si="19"/>
        <v>6</v>
      </c>
      <c r="E218" s="42">
        <v>0.25</v>
      </c>
      <c r="F218" s="45"/>
      <c r="G218" s="45"/>
      <c r="H218" s="45"/>
      <c r="I218" s="45">
        <v>7.5</v>
      </c>
      <c r="J218" s="42">
        <v>30</v>
      </c>
      <c r="K218" s="80">
        <v>3089</v>
      </c>
      <c r="L218" s="45">
        <f t="shared" si="20"/>
        <v>308.90000000000003</v>
      </c>
      <c r="M218">
        <f t="shared" si="21"/>
        <v>9</v>
      </c>
    </row>
    <row r="219" spans="1:13" x14ac:dyDescent="0.25">
      <c r="A219" s="42">
        <v>201060407</v>
      </c>
      <c r="B219" s="42">
        <v>1</v>
      </c>
      <c r="C219" s="43" t="s">
        <v>103</v>
      </c>
      <c r="D219" s="42">
        <f t="shared" si="19"/>
        <v>7</v>
      </c>
      <c r="E219" s="42">
        <v>0.31</v>
      </c>
      <c r="F219" s="45"/>
      <c r="G219" s="45"/>
      <c r="H219" s="45"/>
      <c r="I219" s="45">
        <v>10.85</v>
      </c>
      <c r="J219" s="42">
        <v>35</v>
      </c>
      <c r="K219" s="80">
        <v>4990</v>
      </c>
      <c r="L219" s="45">
        <f t="shared" si="20"/>
        <v>499</v>
      </c>
      <c r="M219">
        <f t="shared" si="21"/>
        <v>13.02</v>
      </c>
    </row>
    <row r="220" spans="1:13" x14ac:dyDescent="0.25">
      <c r="A220" s="42">
        <v>201060408</v>
      </c>
      <c r="B220" s="42">
        <v>1</v>
      </c>
      <c r="C220" s="43" t="s">
        <v>103</v>
      </c>
      <c r="D220" s="42">
        <f t="shared" si="19"/>
        <v>8</v>
      </c>
      <c r="E220" s="42">
        <v>0.39</v>
      </c>
      <c r="F220" s="45"/>
      <c r="G220" s="45"/>
      <c r="H220" s="45"/>
      <c r="I220" s="45">
        <v>15.600000000000001</v>
      </c>
      <c r="J220" s="42">
        <v>40</v>
      </c>
      <c r="K220" s="80">
        <v>8079</v>
      </c>
      <c r="L220" s="45">
        <f t="shared" si="20"/>
        <v>807.90000000000009</v>
      </c>
      <c r="M220">
        <f t="shared" si="21"/>
        <v>18.720000000000002</v>
      </c>
    </row>
    <row r="221" spans="1:13" x14ac:dyDescent="0.25">
      <c r="A221" s="42">
        <v>201060409</v>
      </c>
      <c r="B221" s="42">
        <v>1</v>
      </c>
      <c r="C221" s="43" t="s">
        <v>103</v>
      </c>
      <c r="D221" s="42">
        <f t="shared" si="19"/>
        <v>9</v>
      </c>
      <c r="E221" s="42">
        <v>0.52</v>
      </c>
      <c r="F221" s="45"/>
      <c r="G221" s="45"/>
      <c r="H221" s="45"/>
      <c r="I221" s="45">
        <v>23.400000000000002</v>
      </c>
      <c r="J221" s="42">
        <v>45</v>
      </c>
      <c r="K221" s="80">
        <v>13068</v>
      </c>
      <c r="L221" s="45">
        <f t="shared" si="20"/>
        <v>1306.8000000000002</v>
      </c>
      <c r="M221">
        <f t="shared" si="21"/>
        <v>28.080000000000002</v>
      </c>
    </row>
    <row r="222" spans="1:13" x14ac:dyDescent="0.25">
      <c r="A222" s="42">
        <v>201060410</v>
      </c>
      <c r="B222" s="42">
        <v>1</v>
      </c>
      <c r="C222" s="43" t="s">
        <v>103</v>
      </c>
      <c r="D222" s="42">
        <f t="shared" si="19"/>
        <v>10</v>
      </c>
      <c r="E222" s="42">
        <v>0.69</v>
      </c>
      <c r="F222" s="45"/>
      <c r="G222" s="45"/>
      <c r="H222" s="45"/>
      <c r="I222" s="45">
        <v>34.5</v>
      </c>
      <c r="J222" s="42">
        <v>50</v>
      </c>
      <c r="K222" s="80">
        <v>21147</v>
      </c>
      <c r="L222" s="45">
        <f t="shared" si="20"/>
        <v>2114.7000000000003</v>
      </c>
      <c r="M222">
        <f t="shared" si="21"/>
        <v>41.4</v>
      </c>
    </row>
    <row r="223" spans="1:13" x14ac:dyDescent="0.25">
      <c r="A223" s="68">
        <v>999990</v>
      </c>
      <c r="B223" s="68">
        <v>1</v>
      </c>
      <c r="C223" s="68" t="s">
        <v>104</v>
      </c>
      <c r="D223" s="68">
        <v>1</v>
      </c>
      <c r="E223" s="87" t="s">
        <v>106</v>
      </c>
      <c r="F223" s="68"/>
      <c r="G223" s="68"/>
      <c r="H223" s="68"/>
      <c r="I223" s="68"/>
      <c r="J223" s="68"/>
    </row>
    <row r="224" spans="1:13" x14ac:dyDescent="0.25">
      <c r="A224" s="68">
        <v>999991</v>
      </c>
      <c r="B224" s="68">
        <v>1</v>
      </c>
      <c r="C224" s="68" t="s">
        <v>104</v>
      </c>
      <c r="D224" s="68">
        <v>2</v>
      </c>
      <c r="E224" s="87" t="s">
        <v>106</v>
      </c>
      <c r="F224" s="68"/>
      <c r="G224" s="68"/>
      <c r="H224" s="68"/>
      <c r="I224" s="68"/>
      <c r="J224" s="68"/>
    </row>
    <row r="225" spans="1:10" x14ac:dyDescent="0.25">
      <c r="A225" s="68">
        <v>999992</v>
      </c>
      <c r="B225" s="68">
        <v>1</v>
      </c>
      <c r="C225" s="68" t="s">
        <v>104</v>
      </c>
      <c r="D225" s="68">
        <v>3</v>
      </c>
      <c r="E225" s="87" t="s">
        <v>106</v>
      </c>
      <c r="F225" s="68"/>
      <c r="G225" s="68"/>
      <c r="H225" s="68"/>
      <c r="I225" s="68"/>
      <c r="J225" s="68"/>
    </row>
    <row r="226" spans="1:10" x14ac:dyDescent="0.25">
      <c r="A226" s="68">
        <v>999993</v>
      </c>
      <c r="B226" s="68">
        <v>1</v>
      </c>
      <c r="C226" s="68" t="s">
        <v>104</v>
      </c>
      <c r="D226" s="68">
        <v>4</v>
      </c>
      <c r="E226" s="87" t="s">
        <v>105</v>
      </c>
      <c r="F226" s="68"/>
      <c r="G226" s="68"/>
      <c r="H226" s="68"/>
      <c r="I226" s="68"/>
      <c r="J226" s="68"/>
    </row>
    <row r="227" spans="1:10" x14ac:dyDescent="0.25">
      <c r="A227" s="68">
        <v>999994</v>
      </c>
      <c r="B227" s="68">
        <v>1</v>
      </c>
      <c r="C227" s="68" t="s">
        <v>104</v>
      </c>
      <c r="D227" s="68">
        <v>5</v>
      </c>
      <c r="E227" s="87" t="s">
        <v>105</v>
      </c>
      <c r="F227" s="68"/>
      <c r="G227" s="68"/>
      <c r="H227" s="68"/>
      <c r="I227" s="68"/>
      <c r="J227" s="68"/>
    </row>
    <row r="228" spans="1:10" x14ac:dyDescent="0.25">
      <c r="A228" s="68">
        <v>999995</v>
      </c>
      <c r="B228" s="68">
        <v>1</v>
      </c>
      <c r="C228" s="68" t="s">
        <v>104</v>
      </c>
      <c r="D228" s="68">
        <v>6</v>
      </c>
      <c r="E228" s="87" t="s">
        <v>107</v>
      </c>
      <c r="F228" s="68"/>
      <c r="G228" s="68"/>
      <c r="H228" s="68"/>
      <c r="I228" s="68"/>
      <c r="J228" s="68"/>
    </row>
    <row r="229" spans="1:10" x14ac:dyDescent="0.25">
      <c r="A229" s="68">
        <v>999996</v>
      </c>
      <c r="B229" s="68">
        <v>1</v>
      </c>
      <c r="C229" s="68" t="s">
        <v>104</v>
      </c>
      <c r="D229" s="68">
        <v>7</v>
      </c>
      <c r="E229" s="87" t="s">
        <v>107</v>
      </c>
      <c r="F229" s="68"/>
      <c r="G229" s="68"/>
      <c r="H229" s="68"/>
      <c r="I229" s="68"/>
      <c r="J229" s="68"/>
    </row>
    <row r="230" spans="1:10" x14ac:dyDescent="0.25">
      <c r="A230" s="68">
        <v>999997</v>
      </c>
      <c r="B230" s="68">
        <v>1</v>
      </c>
      <c r="C230" s="68" t="s">
        <v>104</v>
      </c>
      <c r="D230" s="68">
        <v>8</v>
      </c>
      <c r="E230" s="87" t="s">
        <v>110</v>
      </c>
      <c r="F230" s="68"/>
      <c r="G230" s="68"/>
      <c r="H230" s="68"/>
      <c r="I230" s="68"/>
      <c r="J230" s="68"/>
    </row>
    <row r="231" spans="1:10" x14ac:dyDescent="0.25">
      <c r="A231" s="68">
        <v>999998</v>
      </c>
      <c r="B231" s="68">
        <v>1</v>
      </c>
      <c r="C231" s="68" t="s">
        <v>104</v>
      </c>
      <c r="D231" s="68">
        <v>9</v>
      </c>
      <c r="E231" s="87" t="s">
        <v>110</v>
      </c>
      <c r="F231" s="68"/>
      <c r="G231" s="68"/>
      <c r="H231" s="68"/>
      <c r="I231" s="68"/>
      <c r="J231" s="68"/>
    </row>
    <row r="232" spans="1:10" x14ac:dyDescent="0.25">
      <c r="A232" s="68">
        <v>999999</v>
      </c>
      <c r="B232" s="68">
        <v>1</v>
      </c>
      <c r="C232" s="68" t="s">
        <v>104</v>
      </c>
      <c r="D232" s="68">
        <v>10</v>
      </c>
      <c r="E232" s="87" t="s">
        <v>110</v>
      </c>
      <c r="F232" s="68"/>
      <c r="G232" s="68"/>
      <c r="H232" s="68"/>
      <c r="I232" s="68"/>
      <c r="J232" s="68"/>
    </row>
    <row r="233" spans="1:10" x14ac:dyDescent="0.25">
      <c r="A233" s="42">
        <v>201160501</v>
      </c>
      <c r="B233" s="42">
        <v>1</v>
      </c>
      <c r="C233" s="43" t="s">
        <v>108</v>
      </c>
      <c r="D233" s="42">
        <f t="shared" ref="D233:D242" si="22">D223</f>
        <v>1</v>
      </c>
      <c r="E233" s="42">
        <v>4.1399999999999997</v>
      </c>
      <c r="F233" s="45"/>
      <c r="G233" s="45"/>
      <c r="H233" s="45"/>
      <c r="I233" s="45">
        <v>35.700000000000003</v>
      </c>
      <c r="J233" s="42">
        <v>5</v>
      </c>
    </row>
    <row r="234" spans="1:10" x14ac:dyDescent="0.25">
      <c r="A234" s="42">
        <v>201160502</v>
      </c>
      <c r="B234" s="42">
        <v>1</v>
      </c>
      <c r="C234" s="43" t="s">
        <v>108</v>
      </c>
      <c r="D234" s="42">
        <f t="shared" si="22"/>
        <v>2</v>
      </c>
      <c r="E234" s="42">
        <v>4.76</v>
      </c>
      <c r="F234" s="45"/>
      <c r="G234" s="45"/>
      <c r="H234" s="45"/>
      <c r="I234" s="45">
        <v>47.6</v>
      </c>
      <c r="J234" s="42">
        <v>10</v>
      </c>
    </row>
    <row r="235" spans="1:10" x14ac:dyDescent="0.25">
      <c r="A235" s="42">
        <v>201160503</v>
      </c>
      <c r="B235" s="42">
        <v>1</v>
      </c>
      <c r="C235" s="43" t="s">
        <v>108</v>
      </c>
      <c r="D235" s="42">
        <f t="shared" si="22"/>
        <v>3</v>
      </c>
      <c r="E235" s="42">
        <v>4.75</v>
      </c>
      <c r="F235" s="45"/>
      <c r="G235" s="45"/>
      <c r="H235" s="45"/>
      <c r="I235" s="45">
        <v>71.3</v>
      </c>
      <c r="J235" s="42">
        <v>15</v>
      </c>
    </row>
    <row r="236" spans="1:10" x14ac:dyDescent="0.25">
      <c r="A236" s="42">
        <v>201160504</v>
      </c>
      <c r="B236" s="42">
        <v>1</v>
      </c>
      <c r="C236" s="43" t="s">
        <v>108</v>
      </c>
      <c r="D236" s="42">
        <f t="shared" si="22"/>
        <v>4</v>
      </c>
      <c r="E236" s="42">
        <v>5.94</v>
      </c>
      <c r="F236" s="45"/>
      <c r="G236" s="45"/>
      <c r="H236" s="45"/>
      <c r="I236" s="45">
        <v>118.80000000000001</v>
      </c>
      <c r="J236" s="42">
        <v>20</v>
      </c>
    </row>
    <row r="237" spans="1:10" x14ac:dyDescent="0.25">
      <c r="A237" s="42">
        <v>201160505</v>
      </c>
      <c r="B237" s="42">
        <v>1</v>
      </c>
      <c r="C237" s="43" t="s">
        <v>108</v>
      </c>
      <c r="D237" s="42">
        <f t="shared" si="22"/>
        <v>5</v>
      </c>
      <c r="E237" s="42">
        <v>7.6</v>
      </c>
      <c r="F237" s="45"/>
      <c r="G237" s="45"/>
      <c r="H237" s="45"/>
      <c r="I237" s="45">
        <v>190.10000000000002</v>
      </c>
      <c r="J237" s="42">
        <v>25</v>
      </c>
    </row>
    <row r="238" spans="1:10" x14ac:dyDescent="0.25">
      <c r="A238" s="42">
        <v>201160506</v>
      </c>
      <c r="B238" s="42">
        <v>1</v>
      </c>
      <c r="C238" s="43" t="s">
        <v>108</v>
      </c>
      <c r="D238" s="42">
        <f t="shared" si="22"/>
        <v>6</v>
      </c>
      <c r="E238" s="42">
        <v>10.27</v>
      </c>
      <c r="F238" s="45"/>
      <c r="G238" s="45"/>
      <c r="H238" s="45"/>
      <c r="I238" s="45">
        <v>308.90000000000003</v>
      </c>
      <c r="J238" s="42">
        <v>30</v>
      </c>
    </row>
    <row r="239" spans="1:10" x14ac:dyDescent="0.25">
      <c r="A239" s="42">
        <v>201160507</v>
      </c>
      <c r="B239" s="42">
        <v>1</v>
      </c>
      <c r="C239" s="43" t="s">
        <v>108</v>
      </c>
      <c r="D239" s="42">
        <f t="shared" si="22"/>
        <v>7</v>
      </c>
      <c r="E239" s="42">
        <v>14.2</v>
      </c>
      <c r="F239" s="45"/>
      <c r="G239" s="45"/>
      <c r="H239" s="45"/>
      <c r="I239" s="45">
        <v>499</v>
      </c>
      <c r="J239" s="42">
        <v>35</v>
      </c>
    </row>
    <row r="240" spans="1:10" x14ac:dyDescent="0.25">
      <c r="A240" s="42">
        <v>201160508</v>
      </c>
      <c r="B240" s="42">
        <v>1</v>
      </c>
      <c r="C240" s="43" t="s">
        <v>108</v>
      </c>
      <c r="D240" s="42">
        <f t="shared" si="22"/>
        <v>8</v>
      </c>
      <c r="E240" s="42">
        <v>20.100000000000001</v>
      </c>
      <c r="F240" s="45"/>
      <c r="G240" s="45"/>
      <c r="H240" s="45"/>
      <c r="I240" s="45">
        <v>807.90000000000009</v>
      </c>
      <c r="J240" s="42">
        <v>40</v>
      </c>
    </row>
    <row r="241" spans="1:10" x14ac:dyDescent="0.25">
      <c r="A241" s="42">
        <v>201160509</v>
      </c>
      <c r="B241" s="42">
        <v>1</v>
      </c>
      <c r="C241" s="43" t="s">
        <v>108</v>
      </c>
      <c r="D241" s="42">
        <f t="shared" si="22"/>
        <v>9</v>
      </c>
      <c r="E241" s="42">
        <v>29</v>
      </c>
      <c r="F241" s="45"/>
      <c r="G241" s="45"/>
      <c r="H241" s="45"/>
      <c r="I241" s="45">
        <v>1306.8000000000002</v>
      </c>
      <c r="J241" s="42">
        <v>45</v>
      </c>
    </row>
    <row r="242" spans="1:10" x14ac:dyDescent="0.25">
      <c r="A242" s="42">
        <v>201160510</v>
      </c>
      <c r="B242" s="42">
        <v>1</v>
      </c>
      <c r="C242" s="43" t="s">
        <v>108</v>
      </c>
      <c r="D242" s="42">
        <f t="shared" si="22"/>
        <v>10</v>
      </c>
      <c r="E242" s="42">
        <v>42.2</v>
      </c>
      <c r="F242" s="45"/>
      <c r="G242" s="45"/>
      <c r="H242" s="45"/>
      <c r="I242" s="45">
        <v>2114.7000000000003</v>
      </c>
      <c r="J242" s="42">
        <v>50</v>
      </c>
    </row>
    <row r="243" spans="1:10" x14ac:dyDescent="0.25">
      <c r="A243" s="27">
        <v>301010201</v>
      </c>
      <c r="B243" s="27">
        <v>1</v>
      </c>
      <c r="C243" s="28" t="s">
        <v>109</v>
      </c>
      <c r="D243" s="27">
        <f>D233</f>
        <v>1</v>
      </c>
      <c r="E243" s="27">
        <f>I243/J243</f>
        <v>0.4</v>
      </c>
      <c r="F243" s="27"/>
      <c r="G243" s="27"/>
      <c r="H243" s="27"/>
      <c r="I243" s="27">
        <v>2</v>
      </c>
      <c r="J243" s="27">
        <v>5</v>
      </c>
    </row>
    <row r="244" spans="1:10" x14ac:dyDescent="0.25">
      <c r="A244" s="27">
        <v>301010202</v>
      </c>
      <c r="B244" s="27">
        <v>1</v>
      </c>
      <c r="C244" s="28" t="s">
        <v>109</v>
      </c>
      <c r="D244" s="27">
        <f t="shared" ref="D244:D262" si="23">D234</f>
        <v>2</v>
      </c>
      <c r="E244" s="27">
        <f t="shared" ref="E244:E252" si="24">I244/J244</f>
        <v>0.4</v>
      </c>
      <c r="F244" s="27"/>
      <c r="G244" s="27"/>
      <c r="H244" s="27"/>
      <c r="I244" s="27">
        <v>4</v>
      </c>
      <c r="J244" s="27">
        <v>10</v>
      </c>
    </row>
    <row r="245" spans="1:10" x14ac:dyDescent="0.25">
      <c r="A245" s="27">
        <v>301010203</v>
      </c>
      <c r="B245" s="27">
        <v>1</v>
      </c>
      <c r="C245" s="28" t="s">
        <v>109</v>
      </c>
      <c r="D245" s="27">
        <f t="shared" si="23"/>
        <v>3</v>
      </c>
      <c r="E245" s="27">
        <f t="shared" si="24"/>
        <v>0.4</v>
      </c>
      <c r="F245" s="27"/>
      <c r="G245" s="27"/>
      <c r="H245" s="27"/>
      <c r="I245" s="27">
        <v>6</v>
      </c>
      <c r="J245" s="27">
        <v>15</v>
      </c>
    </row>
    <row r="246" spans="1:10" x14ac:dyDescent="0.25">
      <c r="A246" s="27">
        <v>301010204</v>
      </c>
      <c r="B246" s="27">
        <v>1</v>
      </c>
      <c r="C246" s="28" t="s">
        <v>109</v>
      </c>
      <c r="D246" s="27">
        <f t="shared" si="23"/>
        <v>4</v>
      </c>
      <c r="E246" s="27">
        <f t="shared" si="24"/>
        <v>0.4</v>
      </c>
      <c r="F246" s="27"/>
      <c r="G246" s="27"/>
      <c r="H246" s="27"/>
      <c r="I246" s="27">
        <v>8</v>
      </c>
      <c r="J246" s="27">
        <v>20</v>
      </c>
    </row>
    <row r="247" spans="1:10" x14ac:dyDescent="0.25">
      <c r="A247" s="27">
        <v>301010205</v>
      </c>
      <c r="B247" s="27">
        <v>1</v>
      </c>
      <c r="C247" s="28" t="s">
        <v>109</v>
      </c>
      <c r="D247" s="27">
        <f t="shared" si="23"/>
        <v>5</v>
      </c>
      <c r="E247" s="27">
        <f t="shared" si="24"/>
        <v>0.4</v>
      </c>
      <c r="F247" s="27"/>
      <c r="G247" s="27"/>
      <c r="H247" s="27"/>
      <c r="I247" s="27">
        <v>10</v>
      </c>
      <c r="J247" s="27">
        <v>25</v>
      </c>
    </row>
    <row r="248" spans="1:10" x14ac:dyDescent="0.25">
      <c r="A248" s="27">
        <v>301010206</v>
      </c>
      <c r="B248" s="27">
        <v>1</v>
      </c>
      <c r="C248" s="28" t="s">
        <v>109</v>
      </c>
      <c r="D248" s="27">
        <f t="shared" si="23"/>
        <v>6</v>
      </c>
      <c r="E248" s="27">
        <f t="shared" si="24"/>
        <v>0.4</v>
      </c>
      <c r="F248" s="27"/>
      <c r="G248" s="27"/>
      <c r="H248" s="27"/>
      <c r="I248" s="27">
        <v>12</v>
      </c>
      <c r="J248" s="27">
        <v>30</v>
      </c>
    </row>
    <row r="249" spans="1:10" x14ac:dyDescent="0.25">
      <c r="A249" s="27">
        <v>301010207</v>
      </c>
      <c r="B249" s="27">
        <v>1</v>
      </c>
      <c r="C249" s="28" t="s">
        <v>109</v>
      </c>
      <c r="D249" s="27">
        <f t="shared" si="23"/>
        <v>7</v>
      </c>
      <c r="E249" s="27">
        <f t="shared" si="24"/>
        <v>0.4</v>
      </c>
      <c r="F249" s="27"/>
      <c r="G249" s="27"/>
      <c r="H249" s="27"/>
      <c r="I249" s="27">
        <v>14</v>
      </c>
      <c r="J249" s="27">
        <v>35</v>
      </c>
    </row>
    <row r="250" spans="1:10" x14ac:dyDescent="0.25">
      <c r="A250" s="27">
        <v>301010208</v>
      </c>
      <c r="B250" s="27">
        <v>1</v>
      </c>
      <c r="C250" s="28" t="s">
        <v>109</v>
      </c>
      <c r="D250" s="27">
        <f t="shared" si="23"/>
        <v>8</v>
      </c>
      <c r="E250" s="27">
        <f t="shared" si="24"/>
        <v>0.4</v>
      </c>
      <c r="F250" s="27"/>
      <c r="G250" s="27"/>
      <c r="H250" s="27"/>
      <c r="I250" s="27">
        <v>16</v>
      </c>
      <c r="J250" s="27">
        <v>40</v>
      </c>
    </row>
    <row r="251" spans="1:10" x14ac:dyDescent="0.25">
      <c r="A251" s="27">
        <v>301010209</v>
      </c>
      <c r="B251" s="27">
        <v>1</v>
      </c>
      <c r="C251" s="28" t="s">
        <v>109</v>
      </c>
      <c r="D251" s="27">
        <f t="shared" si="23"/>
        <v>9</v>
      </c>
      <c r="E251" s="27">
        <f t="shared" si="24"/>
        <v>0.4</v>
      </c>
      <c r="F251" s="27"/>
      <c r="G251" s="27"/>
      <c r="H251" s="27"/>
      <c r="I251" s="27">
        <v>18</v>
      </c>
      <c r="J251" s="27">
        <v>45</v>
      </c>
    </row>
    <row r="252" spans="1:10" x14ac:dyDescent="0.25">
      <c r="A252" s="27">
        <v>301010210</v>
      </c>
      <c r="B252" s="27">
        <v>1</v>
      </c>
      <c r="C252" s="28" t="s">
        <v>109</v>
      </c>
      <c r="D252" s="27">
        <f t="shared" si="23"/>
        <v>10</v>
      </c>
      <c r="E252" s="27">
        <f t="shared" si="24"/>
        <v>0.4</v>
      </c>
      <c r="F252" s="27"/>
      <c r="G252" s="27"/>
      <c r="H252" s="27"/>
      <c r="I252" s="27">
        <v>20</v>
      </c>
      <c r="J252" s="27">
        <v>50</v>
      </c>
    </row>
    <row r="253" spans="1:10" x14ac:dyDescent="0.25">
      <c r="A253" s="81">
        <v>301010301</v>
      </c>
      <c r="B253" s="81">
        <v>1</v>
      </c>
      <c r="C253" s="82" t="s">
        <v>115</v>
      </c>
      <c r="D253" s="81">
        <f>D243</f>
        <v>1</v>
      </c>
      <c r="E253" s="81">
        <v>0.2</v>
      </c>
      <c r="F253" s="81"/>
      <c r="G253" s="81"/>
      <c r="H253" s="81"/>
      <c r="I253" s="81">
        <v>2</v>
      </c>
      <c r="J253" s="81">
        <v>5</v>
      </c>
    </row>
    <row r="254" spans="1:10" x14ac:dyDescent="0.25">
      <c r="A254" s="81">
        <v>301010302</v>
      </c>
      <c r="B254" s="81">
        <v>1</v>
      </c>
      <c r="C254" s="82" t="s">
        <v>115</v>
      </c>
      <c r="D254" s="81">
        <f t="shared" si="23"/>
        <v>2</v>
      </c>
      <c r="E254" s="81">
        <v>0.26</v>
      </c>
      <c r="F254" s="81"/>
      <c r="G254" s="81"/>
      <c r="H254" s="81"/>
      <c r="I254" s="81">
        <v>4</v>
      </c>
      <c r="J254" s="81">
        <v>10</v>
      </c>
    </row>
    <row r="255" spans="1:10" x14ac:dyDescent="0.25">
      <c r="A255" s="81">
        <v>301010303</v>
      </c>
      <c r="B255" s="81">
        <v>1</v>
      </c>
      <c r="C255" s="82" t="s">
        <v>115</v>
      </c>
      <c r="D255" s="81">
        <f t="shared" si="23"/>
        <v>3</v>
      </c>
      <c r="E255" s="81">
        <v>0.3</v>
      </c>
      <c r="F255" s="81"/>
      <c r="G255" s="81"/>
      <c r="H255" s="81"/>
      <c r="I255" s="81">
        <v>6</v>
      </c>
      <c r="J255" s="81">
        <v>15</v>
      </c>
    </row>
    <row r="256" spans="1:10" x14ac:dyDescent="0.25">
      <c r="A256" s="81">
        <v>301010304</v>
      </c>
      <c r="B256" s="81">
        <v>1</v>
      </c>
      <c r="C256" s="82" t="s">
        <v>115</v>
      </c>
      <c r="D256" s="81">
        <f t="shared" si="23"/>
        <v>4</v>
      </c>
      <c r="E256" s="81">
        <v>0.32</v>
      </c>
      <c r="F256" s="81"/>
      <c r="G256" s="81"/>
      <c r="H256" s="81"/>
      <c r="I256" s="81">
        <v>8</v>
      </c>
      <c r="J256" s="81">
        <v>20</v>
      </c>
    </row>
    <row r="257" spans="1:10" x14ac:dyDescent="0.25">
      <c r="A257" s="81">
        <v>301010305</v>
      </c>
      <c r="B257" s="81">
        <v>1</v>
      </c>
      <c r="C257" s="82" t="s">
        <v>115</v>
      </c>
      <c r="D257" s="81">
        <f t="shared" si="23"/>
        <v>5</v>
      </c>
      <c r="E257" s="81">
        <v>0.33</v>
      </c>
      <c r="F257" s="81"/>
      <c r="G257" s="81"/>
      <c r="H257" s="81"/>
      <c r="I257" s="81">
        <v>10</v>
      </c>
      <c r="J257" s="81">
        <v>25</v>
      </c>
    </row>
    <row r="258" spans="1:10" x14ac:dyDescent="0.25">
      <c r="A258" s="81">
        <v>301010306</v>
      </c>
      <c r="B258" s="81">
        <v>1</v>
      </c>
      <c r="C258" s="82" t="s">
        <v>115</v>
      </c>
      <c r="D258" s="81">
        <f t="shared" si="23"/>
        <v>6</v>
      </c>
      <c r="E258" s="81">
        <v>0.34</v>
      </c>
      <c r="F258" s="81"/>
      <c r="G258" s="81"/>
      <c r="H258" s="81"/>
      <c r="I258" s="81">
        <v>12</v>
      </c>
      <c r="J258" s="81">
        <v>30</v>
      </c>
    </row>
    <row r="259" spans="1:10" x14ac:dyDescent="0.25">
      <c r="A259" s="81">
        <v>301010307</v>
      </c>
      <c r="B259" s="81">
        <v>1</v>
      </c>
      <c r="C259" s="82" t="s">
        <v>115</v>
      </c>
      <c r="D259" s="81">
        <f t="shared" si="23"/>
        <v>7</v>
      </c>
      <c r="E259" s="81">
        <v>0.35</v>
      </c>
      <c r="F259" s="81"/>
      <c r="G259" s="81"/>
      <c r="H259" s="81"/>
      <c r="I259" s="81">
        <v>14</v>
      </c>
      <c r="J259" s="81">
        <v>35</v>
      </c>
    </row>
    <row r="260" spans="1:10" x14ac:dyDescent="0.25">
      <c r="A260" s="81">
        <v>301010308</v>
      </c>
      <c r="B260" s="81">
        <v>1</v>
      </c>
      <c r="C260" s="82" t="s">
        <v>115</v>
      </c>
      <c r="D260" s="81">
        <f t="shared" si="23"/>
        <v>8</v>
      </c>
      <c r="E260" s="81">
        <v>0.35</v>
      </c>
      <c r="F260" s="81"/>
      <c r="G260" s="81"/>
      <c r="H260" s="81"/>
      <c r="I260" s="81">
        <v>16</v>
      </c>
      <c r="J260" s="81">
        <v>40</v>
      </c>
    </row>
    <row r="261" spans="1:10" x14ac:dyDescent="0.25">
      <c r="A261" s="81">
        <v>301010309</v>
      </c>
      <c r="B261" s="81">
        <v>1</v>
      </c>
      <c r="C261" s="82" t="s">
        <v>115</v>
      </c>
      <c r="D261" s="81">
        <f t="shared" si="23"/>
        <v>9</v>
      </c>
      <c r="E261" s="81">
        <v>0.36</v>
      </c>
      <c r="F261" s="81"/>
      <c r="G261" s="81"/>
      <c r="H261" s="81"/>
      <c r="I261" s="81">
        <v>18</v>
      </c>
      <c r="J261" s="81">
        <v>45</v>
      </c>
    </row>
    <row r="262" spans="1:10" x14ac:dyDescent="0.25">
      <c r="A262" s="81">
        <v>301010310</v>
      </c>
      <c r="B262" s="81">
        <v>1</v>
      </c>
      <c r="C262" s="82" t="s">
        <v>115</v>
      </c>
      <c r="D262" s="81">
        <f t="shared" si="23"/>
        <v>10</v>
      </c>
      <c r="E262" s="81">
        <v>0.36</v>
      </c>
      <c r="F262" s="81"/>
      <c r="G262" s="81"/>
      <c r="H262" s="81"/>
      <c r="I262" s="81">
        <v>20</v>
      </c>
      <c r="J262" s="81">
        <v>50</v>
      </c>
    </row>
    <row r="263" spans="1:10" x14ac:dyDescent="0.25">
      <c r="A263" s="30">
        <v>201150201</v>
      </c>
      <c r="B263" s="30">
        <v>1</v>
      </c>
      <c r="C263" s="31" t="s">
        <v>112</v>
      </c>
      <c r="D263" s="30">
        <v>1</v>
      </c>
      <c r="E263" s="40">
        <v>30</v>
      </c>
      <c r="F263" s="40"/>
      <c r="G263" s="40"/>
      <c r="H263" s="40"/>
      <c r="I263" s="40"/>
      <c r="J263" s="40"/>
    </row>
    <row r="264" spans="1:10" x14ac:dyDescent="0.25">
      <c r="A264" s="30">
        <v>201150202</v>
      </c>
      <c r="B264" s="30">
        <v>1</v>
      </c>
      <c r="C264" s="31" t="s">
        <v>112</v>
      </c>
      <c r="D264" s="30">
        <v>2</v>
      </c>
      <c r="E264" s="40">
        <v>60</v>
      </c>
      <c r="F264" s="40"/>
      <c r="G264" s="40"/>
      <c r="H264" s="40"/>
      <c r="I264" s="40"/>
      <c r="J264" s="40"/>
    </row>
    <row r="265" spans="1:10" x14ac:dyDescent="0.25">
      <c r="A265" s="30">
        <v>201150203</v>
      </c>
      <c r="B265" s="30">
        <v>1</v>
      </c>
      <c r="C265" s="31" t="s">
        <v>112</v>
      </c>
      <c r="D265" s="30">
        <v>3</v>
      </c>
      <c r="E265" s="40">
        <v>90</v>
      </c>
      <c r="F265" s="40"/>
      <c r="G265" s="40"/>
      <c r="H265" s="40"/>
      <c r="I265" s="40"/>
      <c r="J265" s="40"/>
    </row>
    <row r="266" spans="1:10" x14ac:dyDescent="0.25">
      <c r="A266" s="30">
        <v>201150204</v>
      </c>
      <c r="B266" s="30">
        <v>1</v>
      </c>
      <c r="C266" s="31" t="s">
        <v>112</v>
      </c>
      <c r="D266" s="30">
        <v>4</v>
      </c>
      <c r="E266" s="40">
        <v>150</v>
      </c>
      <c r="F266" s="40"/>
      <c r="G266" s="40"/>
      <c r="H266" s="40"/>
      <c r="I266" s="40"/>
      <c r="J266" s="40"/>
    </row>
    <row r="267" spans="1:10" x14ac:dyDescent="0.25">
      <c r="A267" s="30">
        <v>201150205</v>
      </c>
      <c r="B267" s="30">
        <v>1</v>
      </c>
      <c r="C267" s="31" t="s">
        <v>112</v>
      </c>
      <c r="D267" s="30">
        <v>5</v>
      </c>
      <c r="E267" s="40">
        <v>240</v>
      </c>
      <c r="F267" s="40"/>
      <c r="G267" s="40"/>
      <c r="H267" s="40"/>
      <c r="I267" s="40"/>
      <c r="J267" s="40"/>
    </row>
    <row r="268" spans="1:10" x14ac:dyDescent="0.25">
      <c r="A268" s="30">
        <v>201150206</v>
      </c>
      <c r="B268" s="30">
        <v>1</v>
      </c>
      <c r="C268" s="31" t="s">
        <v>112</v>
      </c>
      <c r="D268" s="30">
        <v>6</v>
      </c>
      <c r="E268" s="40">
        <v>387</v>
      </c>
      <c r="F268" s="40"/>
      <c r="G268" s="40"/>
      <c r="H268" s="40"/>
      <c r="I268" s="40"/>
      <c r="J268" s="40"/>
    </row>
    <row r="269" spans="1:10" x14ac:dyDescent="0.25">
      <c r="A269" s="30">
        <v>201150207</v>
      </c>
      <c r="B269" s="30">
        <v>1</v>
      </c>
      <c r="C269" s="31" t="s">
        <v>112</v>
      </c>
      <c r="D269" s="30">
        <v>7</v>
      </c>
      <c r="E269" s="40">
        <v>630</v>
      </c>
      <c r="F269" s="40"/>
      <c r="G269" s="40"/>
      <c r="H269" s="40"/>
      <c r="I269" s="40"/>
      <c r="J269" s="40"/>
    </row>
    <row r="270" spans="1:10" x14ac:dyDescent="0.25">
      <c r="A270" s="30">
        <v>201150208</v>
      </c>
      <c r="B270" s="30">
        <v>1</v>
      </c>
      <c r="C270" s="31" t="s">
        <v>112</v>
      </c>
      <c r="D270" s="30">
        <v>8</v>
      </c>
      <c r="E270" s="40">
        <v>1020</v>
      </c>
      <c r="F270" s="40"/>
      <c r="G270" s="40"/>
      <c r="H270" s="40"/>
      <c r="I270" s="40"/>
      <c r="J270" s="40"/>
    </row>
    <row r="271" spans="1:10" x14ac:dyDescent="0.25">
      <c r="A271" s="30">
        <v>201150209</v>
      </c>
      <c r="B271" s="30">
        <v>1</v>
      </c>
      <c r="C271" s="31" t="s">
        <v>112</v>
      </c>
      <c r="D271" s="30">
        <v>9</v>
      </c>
      <c r="E271" s="40">
        <v>1647</v>
      </c>
      <c r="F271" s="40"/>
      <c r="G271" s="40"/>
      <c r="H271" s="40"/>
      <c r="I271" s="40"/>
      <c r="J271" s="40"/>
    </row>
    <row r="272" spans="1:10" x14ac:dyDescent="0.25">
      <c r="A272" s="30">
        <v>201150210</v>
      </c>
      <c r="B272" s="30">
        <v>1</v>
      </c>
      <c r="C272" s="31" t="s">
        <v>112</v>
      </c>
      <c r="D272" s="30">
        <v>10</v>
      </c>
      <c r="E272" s="40">
        <v>2670</v>
      </c>
      <c r="F272" s="40"/>
      <c r="G272" s="40"/>
      <c r="H272" s="40"/>
      <c r="I272" s="40"/>
      <c r="J272" s="40"/>
    </row>
    <row r="273" spans="1:12" x14ac:dyDescent="0.25">
      <c r="A273" s="81">
        <v>1010202001</v>
      </c>
      <c r="B273" s="81">
        <v>1</v>
      </c>
      <c r="C273" s="82" t="s">
        <v>114</v>
      </c>
      <c r="D273" s="81">
        <f>D263</f>
        <v>1</v>
      </c>
      <c r="E273" s="82">
        <v>7</v>
      </c>
      <c r="F273" s="81"/>
      <c r="G273" s="81"/>
      <c r="H273" s="81"/>
      <c r="I273" s="81">
        <v>35</v>
      </c>
      <c r="J273" s="81">
        <v>5</v>
      </c>
    </row>
    <row r="274" spans="1:12" x14ac:dyDescent="0.25">
      <c r="A274" s="81">
        <v>1010202002</v>
      </c>
      <c r="B274" s="81">
        <v>1</v>
      </c>
      <c r="C274" s="82" t="s">
        <v>114</v>
      </c>
      <c r="D274" s="81">
        <f t="shared" ref="D274:D282" si="25">D264</f>
        <v>2</v>
      </c>
      <c r="E274" s="82">
        <v>4</v>
      </c>
      <c r="F274" s="81"/>
      <c r="G274" s="81"/>
      <c r="H274" s="81"/>
      <c r="I274" s="81">
        <v>40</v>
      </c>
      <c r="J274" s="81">
        <v>10</v>
      </c>
    </row>
    <row r="275" spans="1:12" x14ac:dyDescent="0.25">
      <c r="A275" s="81">
        <v>1010202003</v>
      </c>
      <c r="B275" s="81">
        <v>1</v>
      </c>
      <c r="C275" s="82" t="s">
        <v>114</v>
      </c>
      <c r="D275" s="81">
        <f t="shared" si="25"/>
        <v>3</v>
      </c>
      <c r="E275" s="82">
        <v>3</v>
      </c>
      <c r="F275" s="81"/>
      <c r="G275" s="81"/>
      <c r="H275" s="81"/>
      <c r="I275" s="81">
        <v>45</v>
      </c>
      <c r="J275" s="81">
        <v>15</v>
      </c>
    </row>
    <row r="276" spans="1:12" x14ac:dyDescent="0.25">
      <c r="A276" s="81">
        <v>1010202004</v>
      </c>
      <c r="B276" s="81">
        <v>1</v>
      </c>
      <c r="C276" s="82" t="s">
        <v>114</v>
      </c>
      <c r="D276" s="81">
        <f t="shared" si="25"/>
        <v>4</v>
      </c>
      <c r="E276" s="82">
        <v>2.5</v>
      </c>
      <c r="F276" s="81"/>
      <c r="G276" s="81"/>
      <c r="H276" s="81"/>
      <c r="I276" s="81">
        <v>50</v>
      </c>
      <c r="J276" s="81">
        <v>20</v>
      </c>
    </row>
    <row r="277" spans="1:12" x14ac:dyDescent="0.25">
      <c r="A277" s="81">
        <v>1010202005</v>
      </c>
      <c r="B277" s="81">
        <v>1</v>
      </c>
      <c r="C277" s="82" t="s">
        <v>114</v>
      </c>
      <c r="D277" s="81">
        <f t="shared" si="25"/>
        <v>5</v>
      </c>
      <c r="E277" s="82">
        <v>2.2000000000000002</v>
      </c>
      <c r="F277" s="81"/>
      <c r="G277" s="81"/>
      <c r="H277" s="81"/>
      <c r="I277" s="81">
        <v>55</v>
      </c>
      <c r="J277" s="81">
        <v>25</v>
      </c>
    </row>
    <row r="278" spans="1:12" x14ac:dyDescent="0.25">
      <c r="A278" s="81">
        <v>1010202006</v>
      </c>
      <c r="B278" s="81">
        <v>1</v>
      </c>
      <c r="C278" s="82" t="s">
        <v>114</v>
      </c>
      <c r="D278" s="81">
        <f t="shared" si="25"/>
        <v>6</v>
      </c>
      <c r="E278" s="82">
        <v>2</v>
      </c>
      <c r="F278" s="81"/>
      <c r="G278" s="81"/>
      <c r="H278" s="81"/>
      <c r="I278" s="81">
        <v>60</v>
      </c>
      <c r="J278" s="81">
        <v>30</v>
      </c>
    </row>
    <row r="279" spans="1:12" x14ac:dyDescent="0.25">
      <c r="A279" s="81">
        <v>1010202007</v>
      </c>
      <c r="B279" s="81">
        <v>1</v>
      </c>
      <c r="C279" s="82" t="s">
        <v>114</v>
      </c>
      <c r="D279" s="81">
        <f t="shared" si="25"/>
        <v>7</v>
      </c>
      <c r="E279" s="82">
        <v>1.85</v>
      </c>
      <c r="F279" s="81"/>
      <c r="G279" s="81"/>
      <c r="H279" s="81"/>
      <c r="I279" s="81">
        <v>65</v>
      </c>
      <c r="J279" s="81">
        <v>35</v>
      </c>
      <c r="K279">
        <f>E279*32</f>
        <v>59.2</v>
      </c>
    </row>
    <row r="280" spans="1:12" x14ac:dyDescent="0.25">
      <c r="A280" s="81">
        <v>1010202008</v>
      </c>
      <c r="B280" s="81">
        <v>1</v>
      </c>
      <c r="C280" s="82" t="s">
        <v>114</v>
      </c>
      <c r="D280" s="81">
        <f t="shared" si="25"/>
        <v>8</v>
      </c>
      <c r="E280" s="82">
        <v>1.75</v>
      </c>
      <c r="F280" s="81"/>
      <c r="G280" s="81"/>
      <c r="H280" s="81"/>
      <c r="I280" s="81">
        <v>70</v>
      </c>
      <c r="J280" s="81">
        <v>40</v>
      </c>
    </row>
    <row r="281" spans="1:12" x14ac:dyDescent="0.25">
      <c r="A281" s="81">
        <v>1010202009</v>
      </c>
      <c r="B281" s="81">
        <v>1</v>
      </c>
      <c r="C281" s="82" t="s">
        <v>114</v>
      </c>
      <c r="D281" s="81">
        <f t="shared" si="25"/>
        <v>9</v>
      </c>
      <c r="E281" s="82">
        <v>1.66</v>
      </c>
      <c r="F281" s="81"/>
      <c r="G281" s="81"/>
      <c r="H281" s="81"/>
      <c r="I281" s="81">
        <v>75</v>
      </c>
      <c r="J281" s="81">
        <v>45</v>
      </c>
    </row>
    <row r="282" spans="1:12" x14ac:dyDescent="0.25">
      <c r="A282" s="81">
        <v>1010202010</v>
      </c>
      <c r="B282" s="81">
        <v>1</v>
      </c>
      <c r="C282" s="82" t="s">
        <v>114</v>
      </c>
      <c r="D282" s="81">
        <f t="shared" si="25"/>
        <v>10</v>
      </c>
      <c r="E282" s="82">
        <v>1.6</v>
      </c>
      <c r="F282" s="81"/>
      <c r="G282" s="81"/>
      <c r="H282" s="81"/>
      <c r="I282" s="81">
        <v>80</v>
      </c>
      <c r="J282" s="81">
        <v>50</v>
      </c>
    </row>
    <row r="283" spans="1:12" x14ac:dyDescent="0.25">
      <c r="A283" s="88">
        <v>1150107001</v>
      </c>
      <c r="B283" s="88">
        <v>1</v>
      </c>
      <c r="C283" s="89" t="s">
        <v>116</v>
      </c>
      <c r="D283" s="88">
        <f>D273</f>
        <v>1</v>
      </c>
      <c r="E283" s="88">
        <v>2E-3</v>
      </c>
      <c r="F283" s="88"/>
      <c r="G283" s="88"/>
      <c r="H283" s="88"/>
      <c r="I283" s="88">
        <v>0.01</v>
      </c>
      <c r="J283" s="88">
        <v>5</v>
      </c>
      <c r="L283">
        <v>100</v>
      </c>
    </row>
    <row r="284" spans="1:12" x14ac:dyDescent="0.25">
      <c r="A284" s="88">
        <v>1150107002</v>
      </c>
      <c r="B284" s="88">
        <v>1</v>
      </c>
      <c r="C284" s="89" t="s">
        <v>116</v>
      </c>
      <c r="D284" s="88">
        <f t="shared" ref="D284:D302" si="26">D274</f>
        <v>2</v>
      </c>
      <c r="E284" s="88">
        <v>2E-3</v>
      </c>
      <c r="F284" s="88"/>
      <c r="G284" s="88"/>
      <c r="H284" s="88"/>
      <c r="I284" s="88">
        <v>0.02</v>
      </c>
      <c r="J284" s="88">
        <v>10</v>
      </c>
    </row>
    <row r="285" spans="1:12" x14ac:dyDescent="0.25">
      <c r="A285" s="88">
        <v>1150107003</v>
      </c>
      <c r="B285" s="88">
        <v>1</v>
      </c>
      <c r="C285" s="89" t="s">
        <v>116</v>
      </c>
      <c r="D285" s="88">
        <f t="shared" si="26"/>
        <v>3</v>
      </c>
      <c r="E285" s="88">
        <v>2.5999999999999999E-3</v>
      </c>
      <c r="F285" s="88"/>
      <c r="G285" s="88"/>
      <c r="H285" s="88"/>
      <c r="I285" s="88">
        <v>0.04</v>
      </c>
      <c r="J285" s="88">
        <v>15</v>
      </c>
    </row>
    <row r="286" spans="1:12" x14ac:dyDescent="0.25">
      <c r="A286" s="88">
        <v>1150107004</v>
      </c>
      <c r="B286" s="88">
        <v>1</v>
      </c>
      <c r="C286" s="89" t="s">
        <v>116</v>
      </c>
      <c r="D286" s="88">
        <f t="shared" si="26"/>
        <v>4</v>
      </c>
      <c r="E286" s="88">
        <v>3.0000000000000001E-3</v>
      </c>
      <c r="F286" s="88"/>
      <c r="G286" s="88"/>
      <c r="H286" s="88"/>
      <c r="I286" s="88">
        <v>0.06</v>
      </c>
      <c r="J286" s="88">
        <v>20</v>
      </c>
    </row>
    <row r="287" spans="1:12" x14ac:dyDescent="0.25">
      <c r="A287" s="88">
        <v>1150107005</v>
      </c>
      <c r="B287" s="88">
        <v>1</v>
      </c>
      <c r="C287" s="89" t="s">
        <v>116</v>
      </c>
      <c r="D287" s="88">
        <f t="shared" si="26"/>
        <v>5</v>
      </c>
      <c r="E287" s="88">
        <v>3.2000000000000002E-3</v>
      </c>
      <c r="F287" s="88"/>
      <c r="G287" s="88"/>
      <c r="H287" s="88"/>
      <c r="I287" s="88">
        <v>0.08</v>
      </c>
      <c r="J287" s="88">
        <v>25</v>
      </c>
    </row>
    <row r="288" spans="1:12" x14ac:dyDescent="0.25">
      <c r="A288" s="88">
        <v>1150107006</v>
      </c>
      <c r="B288" s="88">
        <v>1</v>
      </c>
      <c r="C288" s="89" t="s">
        <v>116</v>
      </c>
      <c r="D288" s="88">
        <f t="shared" si="26"/>
        <v>6</v>
      </c>
      <c r="E288" s="88">
        <v>3.3E-3</v>
      </c>
      <c r="F288" s="88"/>
      <c r="G288" s="88"/>
      <c r="H288" s="88"/>
      <c r="I288" s="88">
        <v>0.1</v>
      </c>
      <c r="J288" s="88">
        <v>30</v>
      </c>
    </row>
    <row r="289" spans="1:13" x14ac:dyDescent="0.25">
      <c r="A289" s="88">
        <v>1150107007</v>
      </c>
      <c r="B289" s="88">
        <v>1</v>
      </c>
      <c r="C289" s="89" t="s">
        <v>116</v>
      </c>
      <c r="D289" s="88">
        <f t="shared" si="26"/>
        <v>7</v>
      </c>
      <c r="E289" s="88">
        <v>3.7000000000000002E-3</v>
      </c>
      <c r="F289" s="88"/>
      <c r="G289" s="88"/>
      <c r="H289" s="88"/>
      <c r="I289" s="88">
        <v>0.13</v>
      </c>
      <c r="J289" s="88">
        <v>35</v>
      </c>
    </row>
    <row r="290" spans="1:13" x14ac:dyDescent="0.25">
      <c r="A290" s="88">
        <v>1150107008</v>
      </c>
      <c r="B290" s="88">
        <v>1</v>
      </c>
      <c r="C290" s="89" t="s">
        <v>116</v>
      </c>
      <c r="D290" s="88">
        <f t="shared" si="26"/>
        <v>8</v>
      </c>
      <c r="E290" s="88">
        <v>4.0000000000000001E-3</v>
      </c>
      <c r="F290" s="88"/>
      <c r="G290" s="88"/>
      <c r="H290" s="88"/>
      <c r="I290" s="88">
        <v>0.16</v>
      </c>
      <c r="J290" s="88">
        <v>40</v>
      </c>
    </row>
    <row r="291" spans="1:13" x14ac:dyDescent="0.25">
      <c r="A291" s="88">
        <v>1150107009</v>
      </c>
      <c r="B291" s="88">
        <v>1</v>
      </c>
      <c r="C291" s="89" t="s">
        <v>116</v>
      </c>
      <c r="D291" s="88">
        <f t="shared" si="26"/>
        <v>9</v>
      </c>
      <c r="E291" s="88">
        <v>4.4000000000000003E-3</v>
      </c>
      <c r="F291" s="88"/>
      <c r="G291" s="88"/>
      <c r="H291" s="88"/>
      <c r="I291" s="88">
        <v>0.2</v>
      </c>
      <c r="J291" s="88">
        <v>45</v>
      </c>
    </row>
    <row r="292" spans="1:13" x14ac:dyDescent="0.25">
      <c r="A292" s="88">
        <v>1150107010</v>
      </c>
      <c r="B292" s="88">
        <v>1</v>
      </c>
      <c r="C292" s="89" t="s">
        <v>116</v>
      </c>
      <c r="D292" s="88">
        <f t="shared" si="26"/>
        <v>10</v>
      </c>
      <c r="E292" s="88">
        <v>5.0000000000000001E-3</v>
      </c>
      <c r="F292" s="88"/>
      <c r="G292" s="88"/>
      <c r="H292" s="88"/>
      <c r="I292" s="88">
        <v>0.25</v>
      </c>
      <c r="J292" s="88">
        <v>50</v>
      </c>
    </row>
    <row r="293" spans="1:13" x14ac:dyDescent="0.25">
      <c r="A293" s="30">
        <v>2010901001</v>
      </c>
      <c r="B293" s="30">
        <v>1</v>
      </c>
      <c r="C293" s="31" t="s">
        <v>117</v>
      </c>
      <c r="D293" s="30">
        <f>D283</f>
        <v>1</v>
      </c>
      <c r="E293" s="30">
        <v>2E-3</v>
      </c>
      <c r="F293" s="30"/>
      <c r="G293" s="30"/>
      <c r="H293" s="30"/>
      <c r="I293" s="30">
        <v>0.01</v>
      </c>
      <c r="J293" s="30">
        <v>5</v>
      </c>
      <c r="K293">
        <v>1</v>
      </c>
      <c r="L293">
        <f>K293*$M$293</f>
        <v>120</v>
      </c>
      <c r="M293">
        <v>120</v>
      </c>
    </row>
    <row r="294" spans="1:13" x14ac:dyDescent="0.25">
      <c r="A294" s="30">
        <v>2010901002</v>
      </c>
      <c r="B294" s="30">
        <v>1</v>
      </c>
      <c r="C294" s="31" t="s">
        <v>117</v>
      </c>
      <c r="D294" s="30">
        <f t="shared" si="26"/>
        <v>2</v>
      </c>
      <c r="E294" s="30">
        <v>2E-3</v>
      </c>
      <c r="F294" s="30"/>
      <c r="G294" s="30"/>
      <c r="H294" s="30"/>
      <c r="I294" s="30">
        <v>0.02</v>
      </c>
      <c r="J294" s="30">
        <v>10</v>
      </c>
      <c r="K294">
        <v>2</v>
      </c>
      <c r="L294">
        <f t="shared" ref="L294:L302" si="27">K294*$M$293</f>
        <v>240</v>
      </c>
    </row>
    <row r="295" spans="1:13" x14ac:dyDescent="0.25">
      <c r="A295" s="30">
        <v>2010901003</v>
      </c>
      <c r="B295" s="30">
        <v>1</v>
      </c>
      <c r="C295" s="31" t="s">
        <v>117</v>
      </c>
      <c r="D295" s="30">
        <f t="shared" si="26"/>
        <v>3</v>
      </c>
      <c r="E295" s="30">
        <v>2.5999999999999999E-3</v>
      </c>
      <c r="F295" s="30"/>
      <c r="G295" s="30"/>
      <c r="H295" s="30"/>
      <c r="I295" s="30">
        <v>0.04</v>
      </c>
      <c r="J295" s="30">
        <v>15</v>
      </c>
      <c r="K295">
        <v>3</v>
      </c>
      <c r="L295">
        <f t="shared" si="27"/>
        <v>360</v>
      </c>
    </row>
    <row r="296" spans="1:13" x14ac:dyDescent="0.25">
      <c r="A296" s="30">
        <v>2010901004</v>
      </c>
      <c r="B296" s="30">
        <v>1</v>
      </c>
      <c r="C296" s="31" t="s">
        <v>117</v>
      </c>
      <c r="D296" s="30">
        <f t="shared" si="26"/>
        <v>4</v>
      </c>
      <c r="E296" s="30">
        <v>3.0000000000000001E-3</v>
      </c>
      <c r="F296" s="30"/>
      <c r="G296" s="30"/>
      <c r="H296" s="30"/>
      <c r="I296" s="30">
        <v>0.06</v>
      </c>
      <c r="J296" s="30">
        <v>20</v>
      </c>
      <c r="K296">
        <v>4</v>
      </c>
      <c r="L296">
        <f t="shared" si="27"/>
        <v>480</v>
      </c>
    </row>
    <row r="297" spans="1:13" x14ac:dyDescent="0.25">
      <c r="A297" s="30">
        <v>2010901005</v>
      </c>
      <c r="B297" s="30">
        <v>1</v>
      </c>
      <c r="C297" s="31" t="s">
        <v>117</v>
      </c>
      <c r="D297" s="30">
        <f t="shared" si="26"/>
        <v>5</v>
      </c>
      <c r="E297" s="30">
        <v>3.2000000000000002E-3</v>
      </c>
      <c r="F297" s="30"/>
      <c r="G297" s="30"/>
      <c r="H297" s="30"/>
      <c r="I297" s="30">
        <v>0.08</v>
      </c>
      <c r="J297" s="30">
        <v>25</v>
      </c>
      <c r="K297">
        <v>5</v>
      </c>
      <c r="L297">
        <f t="shared" si="27"/>
        <v>600</v>
      </c>
    </row>
    <row r="298" spans="1:13" x14ac:dyDescent="0.25">
      <c r="A298" s="30">
        <v>2010901006</v>
      </c>
      <c r="B298" s="30">
        <v>1</v>
      </c>
      <c r="C298" s="31" t="s">
        <v>117</v>
      </c>
      <c r="D298" s="30">
        <f t="shared" si="26"/>
        <v>6</v>
      </c>
      <c r="E298" s="30">
        <v>3.3E-3</v>
      </c>
      <c r="F298" s="30"/>
      <c r="G298" s="30"/>
      <c r="H298" s="30"/>
      <c r="I298" s="30">
        <v>0.1</v>
      </c>
      <c r="J298" s="30">
        <v>30</v>
      </c>
      <c r="K298">
        <v>6</v>
      </c>
      <c r="L298">
        <f t="shared" si="27"/>
        <v>720</v>
      </c>
    </row>
    <row r="299" spans="1:13" x14ac:dyDescent="0.25">
      <c r="A299" s="30">
        <v>2010901007</v>
      </c>
      <c r="B299" s="30">
        <v>1</v>
      </c>
      <c r="C299" s="31" t="s">
        <v>117</v>
      </c>
      <c r="D299" s="30">
        <f t="shared" si="26"/>
        <v>7</v>
      </c>
      <c r="E299" s="30">
        <v>3.7000000000000002E-3</v>
      </c>
      <c r="F299" s="30"/>
      <c r="G299" s="30"/>
      <c r="H299" s="30"/>
      <c r="I299" s="30">
        <v>0.13</v>
      </c>
      <c r="J299" s="30">
        <v>35</v>
      </c>
      <c r="K299">
        <v>7</v>
      </c>
      <c r="L299">
        <f t="shared" si="27"/>
        <v>840</v>
      </c>
    </row>
    <row r="300" spans="1:13" x14ac:dyDescent="0.25">
      <c r="A300" s="30">
        <v>2010901008</v>
      </c>
      <c r="B300" s="30">
        <v>1</v>
      </c>
      <c r="C300" s="31" t="s">
        <v>117</v>
      </c>
      <c r="D300" s="30">
        <f t="shared" si="26"/>
        <v>8</v>
      </c>
      <c r="E300" s="30">
        <v>4.0000000000000001E-3</v>
      </c>
      <c r="F300" s="30"/>
      <c r="G300" s="30"/>
      <c r="H300" s="30"/>
      <c r="I300" s="30">
        <v>0.16</v>
      </c>
      <c r="J300" s="30">
        <v>40</v>
      </c>
      <c r="K300">
        <v>8</v>
      </c>
      <c r="L300">
        <f t="shared" si="27"/>
        <v>960</v>
      </c>
    </row>
    <row r="301" spans="1:13" x14ac:dyDescent="0.25">
      <c r="A301" s="30">
        <v>2010901009</v>
      </c>
      <c r="B301" s="30">
        <v>1</v>
      </c>
      <c r="C301" s="31" t="s">
        <v>117</v>
      </c>
      <c r="D301" s="30">
        <f t="shared" si="26"/>
        <v>9</v>
      </c>
      <c r="E301" s="30">
        <v>4.4000000000000003E-3</v>
      </c>
      <c r="F301" s="30"/>
      <c r="G301" s="30"/>
      <c r="H301" s="30"/>
      <c r="I301" s="30">
        <v>0.2</v>
      </c>
      <c r="J301" s="30">
        <v>45</v>
      </c>
      <c r="K301">
        <v>9</v>
      </c>
      <c r="L301">
        <f t="shared" si="27"/>
        <v>1080</v>
      </c>
    </row>
    <row r="302" spans="1:13" x14ac:dyDescent="0.25">
      <c r="A302" s="30">
        <v>2010901010</v>
      </c>
      <c r="B302" s="30">
        <v>1</v>
      </c>
      <c r="C302" s="31" t="s">
        <v>117</v>
      </c>
      <c r="D302" s="30">
        <f t="shared" si="26"/>
        <v>10</v>
      </c>
      <c r="E302" s="30">
        <v>5.0000000000000001E-3</v>
      </c>
      <c r="F302" s="30"/>
      <c r="G302" s="30"/>
      <c r="H302" s="30"/>
      <c r="I302" s="30">
        <v>0.25</v>
      </c>
      <c r="J302" s="30">
        <v>50</v>
      </c>
      <c r="K302">
        <v>10</v>
      </c>
      <c r="L302">
        <f t="shared" si="27"/>
        <v>1200</v>
      </c>
    </row>
  </sheetData>
  <autoFilter ref="A1:F262" xr:uid="{00000000-0001-0000-0300-000000000000}"/>
  <phoneticPr fontId="10" type="noConversion"/>
  <conditionalFormatting sqref="A1:A292 A303:A1048576">
    <cfRule type="duplicateValues" dxfId="7" priority="5"/>
  </conditionalFormatting>
  <conditionalFormatting sqref="A203 A205 A207 A209 A211">
    <cfRule type="duplicateValues" dxfId="6" priority="8"/>
  </conditionalFormatting>
  <conditionalFormatting sqref="A243:A252">
    <cfRule type="duplicateValues" dxfId="5" priority="7"/>
  </conditionalFormatting>
  <conditionalFormatting sqref="A253:A262">
    <cfRule type="duplicateValues" dxfId="4" priority="6"/>
  </conditionalFormatting>
  <conditionalFormatting sqref="A273:A282">
    <cfRule type="duplicateValues" dxfId="3" priority="4"/>
  </conditionalFormatting>
  <conditionalFormatting sqref="A283:A292">
    <cfRule type="duplicateValues" dxfId="2" priority="3"/>
  </conditionalFormatting>
  <conditionalFormatting sqref="A293:A302">
    <cfRule type="duplicateValues" dxfId="1" priority="1"/>
    <cfRule type="duplicateValues" dxfId="0" priority="2"/>
  </conditionalFormatting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8"/>
  <sheetViews>
    <sheetView workbookViewId="0">
      <selection sqref="A1:E1048576"/>
    </sheetView>
  </sheetViews>
  <sheetFormatPr defaultColWidth="9" defaultRowHeight="14.4" x14ac:dyDescent="0.25"/>
  <cols>
    <col min="1" max="1" width="16.5546875" style="1" customWidth="1"/>
    <col min="2" max="2" width="11.44140625" style="1" customWidth="1"/>
    <col min="3" max="3" width="19.5546875" style="1" customWidth="1"/>
  </cols>
  <sheetData>
    <row r="1" spans="1:3" ht="15.6" customHeight="1" x14ac:dyDescent="0.25">
      <c r="A1" s="2"/>
      <c r="B1" s="3"/>
      <c r="C1" s="3"/>
    </row>
    <row r="2" spans="1:3" ht="15.6" customHeight="1" x14ac:dyDescent="0.25">
      <c r="A2" s="2"/>
      <c r="B2" s="3"/>
      <c r="C2" s="3"/>
    </row>
    <row r="3" spans="1:3" ht="15.6" customHeight="1" x14ac:dyDescent="0.25">
      <c r="A3" s="2"/>
      <c r="B3" s="3"/>
      <c r="C3" s="3"/>
    </row>
    <row r="4" spans="1:3" ht="15.6" customHeight="1" x14ac:dyDescent="0.25">
      <c r="A4" s="4"/>
      <c r="B4" s="3"/>
      <c r="C4" s="4"/>
    </row>
    <row r="5" spans="1:3" ht="15.6" customHeight="1" x14ac:dyDescent="0.25">
      <c r="A5" s="4"/>
      <c r="B5" s="3"/>
      <c r="C5" s="3"/>
    </row>
    <row r="6" spans="1:3" ht="15.6" customHeight="1" x14ac:dyDescent="0.25">
      <c r="A6" s="4"/>
      <c r="B6" s="3"/>
      <c r="C6" s="3"/>
    </row>
    <row r="7" spans="1:3" ht="15.6" customHeight="1" x14ac:dyDescent="0.25">
      <c r="A7" s="4"/>
      <c r="B7" s="3"/>
      <c r="C7" s="3"/>
    </row>
    <row r="8" spans="1:3" ht="15.6" customHeight="1" x14ac:dyDescent="0.25">
      <c r="A8" s="3"/>
      <c r="B8" s="3"/>
      <c r="C8" s="3"/>
    </row>
    <row r="9" spans="1:3" ht="15.6" customHeight="1" x14ac:dyDescent="0.25">
      <c r="A9" s="4"/>
      <c r="B9" s="3"/>
      <c r="C9" s="3"/>
    </row>
    <row r="10" spans="1:3" ht="15.6" customHeight="1" x14ac:dyDescent="0.25">
      <c r="A10" s="4"/>
      <c r="B10" s="4"/>
      <c r="C10" s="4"/>
    </row>
    <row r="11" spans="1:3" ht="15.6" customHeight="1" x14ac:dyDescent="0.25">
      <c r="A11" s="4"/>
      <c r="B11" s="3"/>
      <c r="C11" s="3"/>
    </row>
    <row r="12" spans="1:3" ht="15.6" customHeight="1" x14ac:dyDescent="0.25">
      <c r="A12" s="4"/>
      <c r="B12" s="3"/>
      <c r="C12" s="3"/>
    </row>
    <row r="13" spans="1:3" ht="15.6" customHeight="1" x14ac:dyDescent="0.25">
      <c r="A13" s="4"/>
      <c r="B13" s="3"/>
      <c r="C13" s="3"/>
    </row>
    <row r="14" spans="1:3" ht="15.6" customHeight="1" x14ac:dyDescent="0.25">
      <c r="A14" s="5"/>
      <c r="B14" s="3"/>
      <c r="C14" s="3"/>
    </row>
    <row r="15" spans="1:3" ht="15.6" customHeight="1" x14ac:dyDescent="0.25">
      <c r="A15" s="5"/>
      <c r="B15" s="3"/>
      <c r="C15" s="4"/>
    </row>
    <row r="16" spans="1:3" ht="15.6" customHeight="1" x14ac:dyDescent="0.3">
      <c r="A16" s="6"/>
      <c r="B16" s="3"/>
      <c r="C16" s="4"/>
    </row>
    <row r="17" spans="1:3" ht="15.6" customHeight="1" x14ac:dyDescent="0.3">
      <c r="A17" s="6"/>
      <c r="B17" s="3"/>
      <c r="C17" s="3"/>
    </row>
    <row r="18" spans="1:3" ht="15.6" customHeight="1" x14ac:dyDescent="0.3">
      <c r="A18" s="6"/>
      <c r="B18" s="3"/>
      <c r="C18" s="3"/>
    </row>
    <row r="19" spans="1:3" ht="15.6" customHeight="1" x14ac:dyDescent="0.25">
      <c r="A19" s="7"/>
      <c r="B19" s="4"/>
      <c r="C19" s="4"/>
    </row>
    <row r="20" spans="1:3" ht="15.6" customHeight="1" x14ac:dyDescent="0.25">
      <c r="A20" s="2"/>
      <c r="B20" s="3"/>
      <c r="C20" s="3"/>
    </row>
    <row r="21" spans="1:3" ht="15.6" customHeight="1" x14ac:dyDescent="0.25">
      <c r="A21" s="2"/>
      <c r="B21" s="3"/>
      <c r="C21" s="3"/>
    </row>
    <row r="22" spans="1:3" ht="15.6" customHeight="1" x14ac:dyDescent="0.25">
      <c r="A22" s="8"/>
      <c r="B22" s="3"/>
      <c r="C22" s="4"/>
    </row>
    <row r="23" spans="1:3" ht="15.6" customHeight="1" x14ac:dyDescent="0.25">
      <c r="A23" s="8"/>
      <c r="B23" s="3"/>
      <c r="C23" s="3"/>
    </row>
    <row r="24" spans="1:3" ht="15.6" customHeight="1" x14ac:dyDescent="0.25">
      <c r="A24" s="8"/>
      <c r="B24" s="3"/>
      <c r="C24" s="3"/>
    </row>
    <row r="25" spans="1:3" ht="15.6" customHeight="1" x14ac:dyDescent="0.25">
      <c r="A25" s="4"/>
      <c r="B25" s="4"/>
      <c r="C25" s="4"/>
    </row>
    <row r="26" spans="1:3" ht="15.6" customHeight="1" x14ac:dyDescent="0.25">
      <c r="A26" s="3"/>
      <c r="B26" s="3"/>
      <c r="C26" s="3"/>
    </row>
    <row r="27" spans="1:3" ht="15.6" customHeight="1" x14ac:dyDescent="0.25">
      <c r="A27" s="4"/>
      <c r="B27" s="3"/>
      <c r="C27" s="3"/>
    </row>
    <row r="28" spans="1:3" ht="15.6" customHeight="1" x14ac:dyDescent="0.25">
      <c r="A28" s="2"/>
      <c r="B28" s="3"/>
      <c r="C28" s="4"/>
    </row>
    <row r="29" spans="1:3" ht="15.6" customHeight="1" x14ac:dyDescent="0.25">
      <c r="A29" s="2"/>
      <c r="B29" s="3"/>
      <c r="C29" s="3"/>
    </row>
    <row r="30" spans="1:3" ht="15.6" customHeight="1" x14ac:dyDescent="0.25">
      <c r="A30" s="2"/>
      <c r="B30" s="3"/>
      <c r="C30" s="3"/>
    </row>
    <row r="31" spans="1:3" ht="15.6" customHeight="1" x14ac:dyDescent="0.25">
      <c r="A31" s="2"/>
      <c r="B31" s="3"/>
      <c r="C31" s="4"/>
    </row>
    <row r="32" spans="1:3" ht="15.6" customHeight="1" x14ac:dyDescent="0.25">
      <c r="A32" s="2"/>
      <c r="B32" s="3"/>
      <c r="C32" s="3"/>
    </row>
    <row r="33" spans="1:3" ht="15.6" customHeight="1" x14ac:dyDescent="0.25">
      <c r="A33" s="2"/>
      <c r="B33" s="3"/>
      <c r="C33" s="3"/>
    </row>
    <row r="34" spans="1:3" ht="15.6" customHeight="1" x14ac:dyDescent="0.25">
      <c r="A34" s="4"/>
      <c r="B34" s="3"/>
      <c r="C34" s="4"/>
    </row>
    <row r="35" spans="1:3" ht="15.6" customHeight="1" x14ac:dyDescent="0.25">
      <c r="A35" s="4"/>
      <c r="B35" s="3"/>
      <c r="C35" s="3"/>
    </row>
    <row r="36" spans="1:3" ht="15.6" customHeight="1" x14ac:dyDescent="0.25">
      <c r="A36" s="4"/>
      <c r="B36" s="3"/>
      <c r="C36" s="3"/>
    </row>
    <row r="37" spans="1:3" ht="15.6" customHeight="1" x14ac:dyDescent="0.25">
      <c r="A37" s="3"/>
      <c r="B37" s="3"/>
      <c r="C37" s="3"/>
    </row>
    <row r="38" spans="1:3" ht="15.6" customHeight="1" x14ac:dyDescent="0.25">
      <c r="A38" s="4"/>
      <c r="B38" s="3"/>
      <c r="C38" s="4"/>
    </row>
    <row r="39" spans="1:3" ht="15.6" customHeight="1" x14ac:dyDescent="0.25">
      <c r="A39" s="4"/>
      <c r="B39" s="3"/>
      <c r="C39" s="3"/>
    </row>
    <row r="40" spans="1:3" ht="15.6" customHeight="1" x14ac:dyDescent="0.25">
      <c r="A40" s="4"/>
      <c r="B40" s="3"/>
      <c r="C40" s="3"/>
    </row>
    <row r="41" spans="1:3" ht="15.6" customHeight="1" x14ac:dyDescent="0.25">
      <c r="A41" s="2"/>
      <c r="B41" s="3"/>
      <c r="C41" s="3"/>
    </row>
    <row r="42" spans="1:3" ht="15.6" customHeight="1" x14ac:dyDescent="0.25">
      <c r="A42" s="2"/>
      <c r="B42" s="3"/>
      <c r="C42" s="3"/>
    </row>
    <row r="43" spans="1:3" ht="15.6" customHeight="1" x14ac:dyDescent="0.25">
      <c r="A43" s="2"/>
      <c r="B43" s="3"/>
      <c r="C43" s="4"/>
    </row>
    <row r="44" spans="1:3" ht="15.6" customHeight="1" x14ac:dyDescent="0.25">
      <c r="A44" s="2"/>
      <c r="B44" s="3"/>
      <c r="C44" s="3"/>
    </row>
    <row r="45" spans="1:3" ht="15.6" customHeight="1" x14ac:dyDescent="0.25">
      <c r="A45" s="2"/>
      <c r="B45" s="3"/>
      <c r="C45" s="3"/>
    </row>
    <row r="46" spans="1:3" ht="15.6" customHeight="1" x14ac:dyDescent="0.25">
      <c r="A46" s="2"/>
      <c r="B46" s="3"/>
      <c r="C46" s="3"/>
    </row>
    <row r="47" spans="1:3" ht="15.6" customHeight="1" x14ac:dyDescent="0.25">
      <c r="A47" s="9"/>
      <c r="B47" s="3"/>
      <c r="C47" s="10"/>
    </row>
    <row r="48" spans="1:3" ht="15.6" customHeight="1" x14ac:dyDescent="0.25">
      <c r="A48" s="9"/>
      <c r="B48" s="3"/>
      <c r="C48" s="10"/>
    </row>
    <row r="49" spans="1:3" ht="15.6" customHeight="1" x14ac:dyDescent="0.25">
      <c r="A49" s="9"/>
      <c r="B49" s="3"/>
      <c r="C49" s="10"/>
    </row>
    <row r="50" spans="1:3" ht="15.6" customHeight="1" x14ac:dyDescent="0.25">
      <c r="A50" s="2"/>
      <c r="B50" s="3"/>
      <c r="C50" s="3"/>
    </row>
    <row r="51" spans="1:3" ht="15.6" customHeight="1" x14ac:dyDescent="0.25">
      <c r="A51" s="2"/>
      <c r="B51" s="3"/>
      <c r="C51" s="3"/>
    </row>
    <row r="52" spans="1:3" ht="15.6" customHeight="1" x14ac:dyDescent="0.25">
      <c r="A52" s="2"/>
      <c r="B52" s="3"/>
      <c r="C52" s="3"/>
    </row>
    <row r="53" spans="1:3" ht="15.6" customHeight="1" x14ac:dyDescent="0.25">
      <c r="A53" s="2"/>
      <c r="B53" s="3"/>
      <c r="C53" s="3"/>
    </row>
    <row r="54" spans="1:3" ht="15.6" customHeight="1" x14ac:dyDescent="0.25">
      <c r="A54" s="2"/>
      <c r="B54" s="3"/>
      <c r="C54" s="3"/>
    </row>
    <row r="55" spans="1:3" ht="15.6" customHeight="1" x14ac:dyDescent="0.25">
      <c r="A55" s="2"/>
      <c r="B55" s="3"/>
      <c r="C55" s="3"/>
    </row>
    <row r="56" spans="1:3" ht="15.6" customHeight="1" x14ac:dyDescent="0.25">
      <c r="A56" s="2"/>
      <c r="B56" s="3"/>
      <c r="C56" s="4"/>
    </row>
    <row r="57" spans="1:3" ht="15.6" customHeight="1" x14ac:dyDescent="0.25">
      <c r="A57" s="2"/>
      <c r="B57" s="3"/>
      <c r="C57" s="4"/>
    </row>
    <row r="58" spans="1:3" ht="15.6" customHeight="1" x14ac:dyDescent="0.25">
      <c r="A58" s="2"/>
      <c r="B58" s="3"/>
      <c r="C58" s="4"/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战斗属性计算公式</vt:lpstr>
      <vt:lpstr>境界等级系数</vt:lpstr>
      <vt:lpstr>境界系数</vt:lpstr>
      <vt:lpstr>JingJieLv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3080</dc:creator>
  <cp:lastModifiedBy>奕轩 张</cp:lastModifiedBy>
  <dcterms:created xsi:type="dcterms:W3CDTF">2006-09-16T00:00:00Z</dcterms:created>
  <dcterms:modified xsi:type="dcterms:W3CDTF">2024-10-15T08:16:15Z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DA871B06E51540279E82A281E5D52DEA_12</vt:lpwstr>
  </property>
  <property fmtid="{D5CDD505-2E9C-101B-9397-08002B2CF9AE}" pid="3" name="KSOProductBuildVer">
    <vt:lpwstr>2052-12.1.0.16929</vt:lpwstr>
  </property>
</Properties>
</file>