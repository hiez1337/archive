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IT文件路径\ExcelData\"/>
    </mc:Choice>
  </mc:AlternateContent>
  <xr:revisionPtr revIDLastSave="0" documentId="13_ncr:1_{A0ECCA4E-741C-4B14-B698-B0B9883544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dy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11" i="1"/>
  <c r="F12" i="1"/>
  <c r="F13" i="1"/>
  <c r="F14" i="1"/>
  <c r="F16" i="1"/>
  <c r="F17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dave666</author>
    <author>26250</author>
  </authors>
  <commentList>
    <comment ref="B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1.脸 2.前发 3.后发 4.眼睛 5.眉毛 6.鼻子
7.嘴巴 8.脸饰 9.胡子 10.衣服 11.面具</t>
        </r>
      </text>
    </comment>
    <comment ref="E1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dave666:
表中屏幕宽度</t>
        </r>
        <r>
          <rPr>
            <sz val="9"/>
            <rFont val="宋体"/>
            <family val="3"/>
            <charset val="134"/>
          </rPr>
          <t xml:space="preserve">
半屏宽度 大约是10.6
3分之一屏 大约是7.1
一屏  约  21.2</t>
        </r>
      </text>
    </comment>
    <comment ref="G1" authorId="2" shapeId="0" xr:uid="{364ED3CA-FD7E-459F-A5E8-473689750D14}">
      <text>
        <r>
          <rPr>
            <b/>
            <sz val="9"/>
            <color indexed="81"/>
            <rFont val="宋体"/>
            <family val="3"/>
            <charset val="134"/>
          </rPr>
          <t>26250:</t>
        </r>
        <r>
          <rPr>
            <sz val="9"/>
            <color indexed="81"/>
            <rFont val="宋体"/>
            <family val="3"/>
            <charset val="134"/>
          </rPr>
          <t xml:space="preserve">
资质*数值</t>
        </r>
      </text>
    </comment>
  </commentList>
</comments>
</file>

<file path=xl/sharedStrings.xml><?xml version="1.0" encoding="utf-8"?>
<sst xmlns="http://schemas.openxmlformats.org/spreadsheetml/2006/main" count="28" uniqueCount="28">
  <si>
    <t>武器类型</t>
  </si>
  <si>
    <t>移动速度</t>
  </si>
  <si>
    <t>攻击类型</t>
  </si>
  <si>
    <t>游走最短距离</t>
  </si>
  <si>
    <t>游走最长距离</t>
  </si>
  <si>
    <t>id</t>
  </si>
  <si>
    <t>speed</t>
  </si>
  <si>
    <t>type</t>
  </si>
  <si>
    <t>minDistanceYouZou</t>
  </si>
  <si>
    <t>maxDistanceYouZou</t>
  </si>
  <si>
    <t>拳掌</t>
  </si>
  <si>
    <t>单手轻刃</t>
  </si>
  <si>
    <t>重刃</t>
  </si>
  <si>
    <t>长兵</t>
  </si>
  <si>
    <t>暗器</t>
  </si>
  <si>
    <t>腿脚</t>
  </si>
  <si>
    <t>双手轻刃</t>
  </si>
  <si>
    <t>绳镖</t>
  </si>
  <si>
    <t>弓箭</t>
  </si>
  <si>
    <t>火器</t>
  </si>
  <si>
    <t>软鞭</t>
  </si>
  <si>
    <t>短兵</t>
  </si>
  <si>
    <t>默认状态</t>
  </si>
  <si>
    <t>DefatultState</t>
  </si>
  <si>
    <t>扇子</t>
  </si>
  <si>
    <t>ruanbian/Idle</t>
    <phoneticPr fontId="4" type="noConversion"/>
  </si>
  <si>
    <t>formula</t>
  </si>
  <si>
    <t>造诣加成公式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</si>
</sst>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2024_2_24V1_JSZ/G2024_7_23EAV1/daojianjianghulu_Data/Res/ExcelData/SkillBatt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招式配置"/>
      <sheetName val="Sheet6"/>
      <sheetName val="Sheet5"/>
      <sheetName val="Sheet4"/>
      <sheetName val="飞行道具配置"/>
      <sheetName val="心诀配置"/>
      <sheetName val="武学境界对应招式表"/>
      <sheetName val="Sheet1"/>
      <sheetName val="轻击对应招式表"/>
      <sheetName val="重击对应招式表"/>
      <sheetName val="散学对应招式表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武学类型</v>
          </cell>
          <cell r="D1" t="str">
            <v>所属门派</v>
          </cell>
          <cell r="E1" t="str">
            <v>所属内外攻</v>
          </cell>
          <cell r="F1" t="str">
            <v>默认状态</v>
          </cell>
        </row>
        <row r="2">
          <cell r="C2" t="str">
            <v>tipType</v>
          </cell>
          <cell r="D2" t="str">
            <v>tipSect</v>
          </cell>
          <cell r="E2" t="str">
            <v>attackType</v>
          </cell>
          <cell r="F2" t="str">
            <v>DefatultState</v>
          </cell>
        </row>
        <row r="3">
          <cell r="C3" t="str">
            <v>拳掌</v>
          </cell>
          <cell r="D3" t="str">
            <v>江湖武学</v>
          </cell>
          <cell r="E3">
            <v>1</v>
          </cell>
          <cell r="F3" t="str">
            <v>quan/Idle3</v>
          </cell>
        </row>
        <row r="4">
          <cell r="C4" t="str">
            <v>拳掌</v>
          </cell>
          <cell r="D4" t="str">
            <v>江湖武学</v>
          </cell>
          <cell r="E4">
            <v>1</v>
          </cell>
          <cell r="F4" t="str">
            <v>quan/Idle3</v>
          </cell>
        </row>
        <row r="5">
          <cell r="C5" t="str">
            <v>拳掌</v>
          </cell>
          <cell r="D5" t="str">
            <v>江湖武学</v>
          </cell>
          <cell r="E5">
            <v>1</v>
          </cell>
          <cell r="F5" t="str">
            <v>quan/Idle3</v>
          </cell>
        </row>
        <row r="6">
          <cell r="C6" t="str">
            <v>拳掌</v>
          </cell>
          <cell r="D6" t="str">
            <v>太和</v>
          </cell>
          <cell r="E6">
            <v>2</v>
          </cell>
          <cell r="F6" t="str">
            <v>quan/Idle3</v>
          </cell>
        </row>
        <row r="7">
          <cell r="C7" t="str">
            <v>单手轻刃</v>
          </cell>
          <cell r="D7" t="str">
            <v>江湖武学</v>
          </cell>
          <cell r="E7">
            <v>1</v>
          </cell>
          <cell r="F7" t="str">
            <v>jian/Idle</v>
          </cell>
        </row>
        <row r="8">
          <cell r="C8" t="str">
            <v>单手轻刃</v>
          </cell>
          <cell r="D8" t="str">
            <v>江湖武学</v>
          </cell>
          <cell r="E8">
            <v>1</v>
          </cell>
          <cell r="F8" t="str">
            <v>jian/Idle</v>
          </cell>
        </row>
        <row r="9">
          <cell r="C9" t="str">
            <v>单手轻刃</v>
          </cell>
          <cell r="D9" t="str">
            <v>江湖武学</v>
          </cell>
          <cell r="E9">
            <v>1</v>
          </cell>
          <cell r="F9" t="str">
            <v>jian/Idle2</v>
          </cell>
        </row>
        <row r="10">
          <cell r="C10" t="str">
            <v>单手轻刃</v>
          </cell>
          <cell r="D10" t="str">
            <v>天涯海阁</v>
          </cell>
          <cell r="E10">
            <v>1</v>
          </cell>
          <cell r="F10" t="str">
            <v>jian/Idle3</v>
          </cell>
        </row>
        <row r="11">
          <cell r="C11" t="str">
            <v>单手轻刃</v>
          </cell>
          <cell r="D11" t="str">
            <v>太和</v>
          </cell>
          <cell r="E11">
            <v>2</v>
          </cell>
          <cell r="F11" t="str">
            <v>jian/Idle</v>
          </cell>
        </row>
        <row r="12">
          <cell r="C12" t="str">
            <v>单手轻刃</v>
          </cell>
          <cell r="D12" t="str">
            <v>江湖武学</v>
          </cell>
          <cell r="E12">
            <v>1</v>
          </cell>
          <cell r="F12" t="str">
            <v>jian/Idle</v>
          </cell>
        </row>
        <row r="13">
          <cell r="C13" t="str">
            <v>重刃</v>
          </cell>
          <cell r="D13" t="str">
            <v>江湖武学</v>
          </cell>
          <cell r="E13">
            <v>1</v>
          </cell>
          <cell r="F13" t="str">
            <v>zhongren/Idle</v>
          </cell>
        </row>
        <row r="14">
          <cell r="C14" t="str">
            <v>重刃</v>
          </cell>
          <cell r="D14" t="str">
            <v>江湖武学</v>
          </cell>
          <cell r="E14">
            <v>1</v>
          </cell>
          <cell r="F14" t="str">
            <v>zhongren/Idle</v>
          </cell>
        </row>
        <row r="15">
          <cell r="C15" t="str">
            <v>长兵</v>
          </cell>
          <cell r="D15" t="str">
            <v>江湖武学</v>
          </cell>
          <cell r="E15">
            <v>1</v>
          </cell>
          <cell r="F15" t="str">
            <v>qiangfa/Idle</v>
          </cell>
        </row>
        <row r="16">
          <cell r="C16" t="str">
            <v>长兵</v>
          </cell>
          <cell r="D16" t="str">
            <v>江湖武学</v>
          </cell>
          <cell r="E16">
            <v>1</v>
          </cell>
          <cell r="F16" t="str">
            <v>qiangfa/Idle</v>
          </cell>
        </row>
        <row r="17">
          <cell r="C17" t="str">
            <v>长兵</v>
          </cell>
          <cell r="D17" t="str">
            <v>江湖武学</v>
          </cell>
          <cell r="E17">
            <v>1</v>
          </cell>
          <cell r="F17" t="str">
            <v>qiangfa/Idle</v>
          </cell>
        </row>
        <row r="18">
          <cell r="C18" t="str">
            <v>长兵</v>
          </cell>
          <cell r="D18" t="str">
            <v>江湖武学</v>
          </cell>
          <cell r="E18">
            <v>1</v>
          </cell>
          <cell r="F18" t="str">
            <v>qiangfa/Idle</v>
          </cell>
        </row>
        <row r="19">
          <cell r="C19" t="str">
            <v>扇子</v>
          </cell>
          <cell r="D19" t="str">
            <v>江湖武学</v>
          </cell>
          <cell r="E19">
            <v>2</v>
          </cell>
          <cell r="F19" t="str">
            <v>shanzi/Idle</v>
          </cell>
        </row>
        <row r="20">
          <cell r="C20" t="str">
            <v>扇子</v>
          </cell>
          <cell r="D20" t="str">
            <v>天涯海阁</v>
          </cell>
          <cell r="E20">
            <v>2</v>
          </cell>
          <cell r="F20" t="str">
            <v>shanzi/Idle</v>
          </cell>
        </row>
        <row r="21">
          <cell r="C21" t="str">
            <v>暗器</v>
          </cell>
          <cell r="D21" t="str">
            <v>江湖武学</v>
          </cell>
          <cell r="E21">
            <v>2</v>
          </cell>
          <cell r="F21" t="str">
            <v>anqi/Idle</v>
          </cell>
        </row>
        <row r="22">
          <cell r="C22" t="str">
            <v>暗器</v>
          </cell>
          <cell r="D22" t="str">
            <v>江湖武学</v>
          </cell>
          <cell r="E22">
            <v>2</v>
          </cell>
          <cell r="F22" t="str">
            <v>anqi/Idle</v>
          </cell>
        </row>
        <row r="23">
          <cell r="C23" t="str">
            <v>腿脚</v>
          </cell>
          <cell r="D23" t="str">
            <v>江湖武学</v>
          </cell>
          <cell r="E23">
            <v>1</v>
          </cell>
          <cell r="F23" t="str">
            <v>tui/Idle</v>
          </cell>
        </row>
        <row r="24">
          <cell r="C24" t="str">
            <v>腿脚</v>
          </cell>
          <cell r="D24" t="str">
            <v>江湖武学</v>
          </cell>
          <cell r="E24">
            <v>1</v>
          </cell>
          <cell r="F24" t="str">
            <v>tui/Idle</v>
          </cell>
        </row>
        <row r="25">
          <cell r="C25" t="str">
            <v>双手轻刃</v>
          </cell>
          <cell r="D25" t="str">
            <v>江湖武学</v>
          </cell>
          <cell r="E25">
            <v>1</v>
          </cell>
          <cell r="F25" t="str">
            <v>shuangshouqingren/Idle</v>
          </cell>
        </row>
        <row r="26">
          <cell r="C26" t="str">
            <v>双手轻刃</v>
          </cell>
          <cell r="D26" t="str">
            <v>江湖武学</v>
          </cell>
          <cell r="E26">
            <v>1</v>
          </cell>
          <cell r="F26" t="str">
            <v>shuangshouqingren/Idle</v>
          </cell>
        </row>
        <row r="27">
          <cell r="C27" t="str">
            <v>绳镖</v>
          </cell>
          <cell r="D27" t="str">
            <v>江湖武学</v>
          </cell>
          <cell r="E27">
            <v>1</v>
          </cell>
          <cell r="F27" t="str">
            <v>shengbiao/Idle</v>
          </cell>
        </row>
        <row r="28">
          <cell r="C28" t="str">
            <v>绳镖</v>
          </cell>
          <cell r="D28" t="str">
            <v>江湖武学</v>
          </cell>
          <cell r="E28">
            <v>1</v>
          </cell>
          <cell r="F28" t="str">
            <v>shengbiao/Idle</v>
          </cell>
        </row>
        <row r="29">
          <cell r="C29" t="str">
            <v>短兵</v>
          </cell>
          <cell r="D29" t="str">
            <v>江湖武学</v>
          </cell>
          <cell r="E29">
            <v>2</v>
          </cell>
          <cell r="F29" t="str">
            <v>duanbing/Idle</v>
          </cell>
        </row>
        <row r="30">
          <cell r="C30" t="str">
            <v>短兵</v>
          </cell>
          <cell r="D30" t="str">
            <v>五圣教</v>
          </cell>
          <cell r="E30">
            <v>2</v>
          </cell>
          <cell r="F30" t="str">
            <v>duanbing/Idle</v>
          </cell>
        </row>
        <row r="31">
          <cell r="C31" t="str">
            <v>火器</v>
          </cell>
          <cell r="D31" t="str">
            <v>江湖武学</v>
          </cell>
          <cell r="E31">
            <v>1</v>
          </cell>
          <cell r="F31" t="str">
            <v>huoqiang/Idle</v>
          </cell>
        </row>
        <row r="32">
          <cell r="C32" t="str">
            <v>火器</v>
          </cell>
          <cell r="D32" t="str">
            <v>江湖武学</v>
          </cell>
          <cell r="E32">
            <v>1</v>
          </cell>
          <cell r="F32" t="str">
            <v>huoqiang/Idle</v>
          </cell>
        </row>
        <row r="33">
          <cell r="C33" t="str">
            <v>弓箭</v>
          </cell>
          <cell r="D33" t="str">
            <v>江湖武学</v>
          </cell>
          <cell r="E33">
            <v>1</v>
          </cell>
          <cell r="F33" t="str">
            <v>gongjian/Idle</v>
          </cell>
        </row>
        <row r="34">
          <cell r="C34" t="str">
            <v>弓箭</v>
          </cell>
          <cell r="D34" t="str">
            <v>江湖武学</v>
          </cell>
          <cell r="E34">
            <v>1</v>
          </cell>
          <cell r="F34" t="str">
            <v>gongjian/Idle</v>
          </cell>
        </row>
        <row r="35">
          <cell r="C35" t="str">
            <v>内功</v>
          </cell>
          <cell r="D35" t="str">
            <v>天涯海阁</v>
          </cell>
          <cell r="E35"/>
          <cell r="F35"/>
        </row>
        <row r="36">
          <cell r="C36" t="str">
            <v>内功</v>
          </cell>
          <cell r="D36" t="str">
            <v>江湖武学</v>
          </cell>
          <cell r="E36"/>
          <cell r="F36"/>
        </row>
        <row r="37">
          <cell r="C37" t="str">
            <v>内功</v>
          </cell>
          <cell r="D37" t="str">
            <v>江湖武学</v>
          </cell>
          <cell r="E37"/>
          <cell r="F37"/>
        </row>
        <row r="38">
          <cell r="C38" t="str">
            <v>内功</v>
          </cell>
          <cell r="D38" t="str">
            <v>五圣教</v>
          </cell>
          <cell r="E38"/>
          <cell r="F38"/>
        </row>
        <row r="39">
          <cell r="C39" t="str">
            <v>内功</v>
          </cell>
          <cell r="D39" t="str">
            <v>江湖武学</v>
          </cell>
          <cell r="E39"/>
          <cell r="F39"/>
        </row>
        <row r="40">
          <cell r="C40" t="str">
            <v>内功</v>
          </cell>
          <cell r="D40" t="str">
            <v>江湖武学</v>
          </cell>
          <cell r="E40"/>
          <cell r="F40"/>
        </row>
        <row r="41">
          <cell r="C41" t="str">
            <v>内功</v>
          </cell>
          <cell r="D41" t="str">
            <v>太和</v>
          </cell>
          <cell r="E41"/>
          <cell r="F41"/>
        </row>
        <row r="42">
          <cell r="C42" t="str">
            <v>内功</v>
          </cell>
          <cell r="D42" t="str">
            <v>江湖武学</v>
          </cell>
          <cell r="E42"/>
          <cell r="F42"/>
        </row>
        <row r="43">
          <cell r="C43" t="str">
            <v>内功</v>
          </cell>
          <cell r="D43" t="str">
            <v>江湖武学</v>
          </cell>
          <cell r="E43"/>
          <cell r="F43"/>
        </row>
        <row r="44">
          <cell r="C44" t="str">
            <v>内功</v>
          </cell>
          <cell r="D44" t="str">
            <v>江湖武学</v>
          </cell>
          <cell r="E44"/>
          <cell r="F44"/>
        </row>
        <row r="45">
          <cell r="C45" t="str">
            <v>内功</v>
          </cell>
          <cell r="D45" t="str">
            <v>江湖武学</v>
          </cell>
          <cell r="E45"/>
          <cell r="F45"/>
        </row>
        <row r="46">
          <cell r="C46" t="str">
            <v>内功</v>
          </cell>
          <cell r="D46" t="str">
            <v>江湖武学</v>
          </cell>
          <cell r="E46"/>
          <cell r="F46"/>
        </row>
        <row r="47">
          <cell r="C47" t="str">
            <v>内功</v>
          </cell>
          <cell r="D47" t="str">
            <v>江湖武学</v>
          </cell>
          <cell r="E47"/>
          <cell r="F47"/>
        </row>
        <row r="48">
          <cell r="C48" t="str">
            <v>内功</v>
          </cell>
          <cell r="D48" t="str">
            <v>太和</v>
          </cell>
          <cell r="E48"/>
          <cell r="F48"/>
        </row>
        <row r="49">
          <cell r="C49" t="str">
            <v>内功</v>
          </cell>
          <cell r="D49" t="str">
            <v>江湖武学</v>
          </cell>
          <cell r="E49"/>
          <cell r="F49"/>
        </row>
        <row r="50">
          <cell r="C50" t="str">
            <v>内功</v>
          </cell>
          <cell r="D50" t="str">
            <v>江湖武学</v>
          </cell>
          <cell r="E50"/>
          <cell r="F50"/>
        </row>
        <row r="51">
          <cell r="C51" t="str">
            <v>内功</v>
          </cell>
          <cell r="D51" t="str">
            <v>五圣教</v>
          </cell>
          <cell r="E51"/>
          <cell r="F51"/>
        </row>
        <row r="52">
          <cell r="C52" t="str">
            <v>轻功</v>
          </cell>
          <cell r="D52" t="str">
            <v>天涯海阁</v>
          </cell>
          <cell r="E52"/>
          <cell r="F52"/>
        </row>
        <row r="53">
          <cell r="C53" t="str">
            <v>轻功</v>
          </cell>
          <cell r="D53" t="str">
            <v>江湖武学</v>
          </cell>
          <cell r="E53"/>
          <cell r="F53"/>
        </row>
        <row r="54">
          <cell r="C54" t="str">
            <v>轻功</v>
          </cell>
          <cell r="D54" t="str">
            <v>江湖武学</v>
          </cell>
          <cell r="E54"/>
          <cell r="F54"/>
        </row>
        <row r="55">
          <cell r="C55" t="str">
            <v>轻功</v>
          </cell>
          <cell r="D55" t="str">
            <v>江湖武学</v>
          </cell>
          <cell r="E55"/>
          <cell r="F55"/>
        </row>
        <row r="56">
          <cell r="C56" t="str">
            <v>轻功</v>
          </cell>
          <cell r="D56" t="str">
            <v>江湖武学</v>
          </cell>
          <cell r="E56"/>
          <cell r="F56"/>
        </row>
        <row r="57">
          <cell r="C57" t="str">
            <v>轻功</v>
          </cell>
          <cell r="D57" t="str">
            <v>江湖武学</v>
          </cell>
          <cell r="E57"/>
          <cell r="F57"/>
        </row>
        <row r="58">
          <cell r="C58" t="str">
            <v>轻功</v>
          </cell>
          <cell r="D58" t="str">
            <v>太和</v>
          </cell>
          <cell r="E58"/>
          <cell r="F58"/>
        </row>
        <row r="59">
          <cell r="C59" t="str">
            <v>轻功</v>
          </cell>
          <cell r="D59" t="str">
            <v>江湖武学</v>
          </cell>
          <cell r="E59"/>
          <cell r="F59"/>
        </row>
        <row r="60">
          <cell r="C60" t="str">
            <v>轻功</v>
          </cell>
          <cell r="D60" t="str">
            <v>江湖武学</v>
          </cell>
          <cell r="E60"/>
          <cell r="F60"/>
        </row>
        <row r="61">
          <cell r="C61" t="str">
            <v>轻功</v>
          </cell>
          <cell r="D61" t="str">
            <v>江湖武学</v>
          </cell>
          <cell r="E61"/>
          <cell r="F61"/>
        </row>
        <row r="62">
          <cell r="C62" t="str">
            <v>轻功</v>
          </cell>
          <cell r="D62" t="str">
            <v>江湖武学</v>
          </cell>
          <cell r="E62"/>
          <cell r="F62"/>
        </row>
        <row r="63">
          <cell r="C63" t="str">
            <v>轻功</v>
          </cell>
          <cell r="D63" t="str">
            <v>五圣教</v>
          </cell>
          <cell r="E63"/>
          <cell r="F63"/>
        </row>
        <row r="64">
          <cell r="C64" t="str">
            <v>轻功</v>
          </cell>
          <cell r="D64" t="str">
            <v>江湖武学</v>
          </cell>
          <cell r="E64"/>
          <cell r="F64"/>
        </row>
        <row r="65">
          <cell r="C65" t="str">
            <v>轻功</v>
          </cell>
          <cell r="D65" t="str">
            <v>江湖武学</v>
          </cell>
          <cell r="E65"/>
          <cell r="F65"/>
        </row>
        <row r="66">
          <cell r="C66" t="str">
            <v>拳掌</v>
          </cell>
          <cell r="D66" t="str">
            <v>江湖武学</v>
          </cell>
          <cell r="E66"/>
          <cell r="F66" t="str">
            <v>lang/Idle</v>
          </cell>
        </row>
        <row r="67">
          <cell r="C67" t="str">
            <v>拳掌</v>
          </cell>
          <cell r="D67" t="str">
            <v>江湖武学</v>
          </cell>
          <cell r="E67"/>
          <cell r="F67" t="str">
            <v>she/Idle</v>
          </cell>
        </row>
        <row r="68">
          <cell r="C68" t="str">
            <v>内功</v>
          </cell>
          <cell r="D68" t="str">
            <v>江湖武学</v>
          </cell>
          <cell r="E68"/>
          <cell r="F68"/>
        </row>
        <row r="69">
          <cell r="C69" t="str">
            <v>轻功</v>
          </cell>
          <cell r="D69" t="str">
            <v>江湖武学</v>
          </cell>
          <cell r="E69"/>
          <cell r="F69"/>
        </row>
        <row r="70">
          <cell r="C70" t="str">
            <v>拳掌</v>
          </cell>
          <cell r="D70" t="str">
            <v>江湖武学</v>
          </cell>
          <cell r="E70"/>
          <cell r="F70" t="str">
            <v>guren/Idle</v>
          </cell>
        </row>
        <row r="71">
          <cell r="C71" t="str">
            <v>拳掌</v>
          </cell>
          <cell r="D71" t="str">
            <v>江湖武学</v>
          </cell>
          <cell r="E71"/>
          <cell r="F71" t="str">
            <v>xiong/Idle</v>
          </cell>
        </row>
        <row r="72">
          <cell r="C72" t="str">
            <v>纵跃</v>
          </cell>
          <cell r="D72" t="str">
            <v>江湖武学</v>
          </cell>
          <cell r="E72"/>
          <cell r="F72"/>
        </row>
        <row r="73">
          <cell r="C73" t="str">
            <v>长兵</v>
          </cell>
          <cell r="D73" t="str">
            <v>江湖武学</v>
          </cell>
          <cell r="E73"/>
          <cell r="F73"/>
        </row>
        <row r="74">
          <cell r="C74" t="str">
            <v>绳镖</v>
          </cell>
          <cell r="D74" t="str">
            <v>江湖武学</v>
          </cell>
          <cell r="E74"/>
          <cell r="F74" t="str">
            <v>shengbiao/Idle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G3" sqref="G3:G17"/>
    </sheetView>
  </sheetViews>
  <sheetFormatPr defaultColWidth="9" defaultRowHeight="14.4" x14ac:dyDescent="0.25"/>
  <cols>
    <col min="1" max="1" width="18.5546875" customWidth="1"/>
    <col min="2" max="2" width="28" customWidth="1"/>
    <col min="3" max="3" width="17.33203125" customWidth="1"/>
    <col min="4" max="4" width="18.109375" customWidth="1"/>
    <col min="5" max="5" width="22.6640625" customWidth="1"/>
    <col min="6" max="7" width="23.6640625" customWidth="1"/>
  </cols>
  <sheetData>
    <row r="1" spans="1:8" s="1" customFormat="1" ht="15.6" customHeight="1" x14ac:dyDescent="0.25">
      <c r="A1" s="2" t="s">
        <v>0</v>
      </c>
      <c r="B1" s="2" t="s">
        <v>1</v>
      </c>
      <c r="C1" s="5" t="s">
        <v>2</v>
      </c>
      <c r="D1" s="5" t="s">
        <v>3</v>
      </c>
      <c r="E1" s="2" t="s">
        <v>4</v>
      </c>
      <c r="F1" s="2" t="s">
        <v>22</v>
      </c>
      <c r="G1" s="5" t="s">
        <v>27</v>
      </c>
      <c r="H1" s="3"/>
    </row>
    <row r="2" spans="1:8" s="1" customFormat="1" ht="15.6" customHeight="1" x14ac:dyDescent="0.25">
      <c r="A2" s="2" t="s">
        <v>5</v>
      </c>
      <c r="B2" s="2" t="s">
        <v>6</v>
      </c>
      <c r="C2" s="5" t="s">
        <v>7</v>
      </c>
      <c r="D2" s="5" t="s">
        <v>8</v>
      </c>
      <c r="E2" s="5" t="s">
        <v>9</v>
      </c>
      <c r="F2" s="2" t="s">
        <v>23</v>
      </c>
      <c r="G2" s="2" t="s">
        <v>26</v>
      </c>
      <c r="H2" s="3"/>
    </row>
    <row r="3" spans="1:8" s="1" customFormat="1" ht="15.6" customHeight="1" x14ac:dyDescent="0.25">
      <c r="A3" s="2">
        <v>1</v>
      </c>
      <c r="B3" s="2">
        <v>900</v>
      </c>
      <c r="C3" s="2">
        <v>0</v>
      </c>
      <c r="D3" s="2">
        <v>2</v>
      </c>
      <c r="E3" s="2">
        <v>3.2</v>
      </c>
      <c r="F3" s="2" t="str">
        <f>VLOOKUP(H3,[1]武学境界对应招式表!$C:$F,4,0)</f>
        <v>quan/Idle3</v>
      </c>
      <c r="G3" s="5">
        <v>100</v>
      </c>
      <c r="H3" s="3" t="s">
        <v>10</v>
      </c>
    </row>
    <row r="4" spans="1:8" s="1" customFormat="1" ht="15.6" customHeight="1" x14ac:dyDescent="0.25">
      <c r="A4" s="2">
        <v>2</v>
      </c>
      <c r="B4" s="2">
        <v>800</v>
      </c>
      <c r="C4" s="2">
        <v>0</v>
      </c>
      <c r="D4" s="2">
        <v>2.5</v>
      </c>
      <c r="E4" s="2">
        <v>3.6</v>
      </c>
      <c r="F4" s="2" t="str">
        <f>VLOOKUP(H4,[1]武学境界对应招式表!$C:$F,4,0)</f>
        <v>jian/Idle</v>
      </c>
      <c r="G4" s="5">
        <v>100</v>
      </c>
      <c r="H4" s="3" t="s">
        <v>11</v>
      </c>
    </row>
    <row r="5" spans="1:8" s="1" customFormat="1" ht="15.6" customHeight="1" x14ac:dyDescent="0.25">
      <c r="A5" s="2">
        <v>3</v>
      </c>
      <c r="B5" s="2">
        <v>550</v>
      </c>
      <c r="C5" s="2">
        <v>0</v>
      </c>
      <c r="D5" s="2">
        <v>3</v>
      </c>
      <c r="E5" s="2">
        <v>4</v>
      </c>
      <c r="F5" s="2" t="str">
        <f>VLOOKUP(H5,[1]武学境界对应招式表!$C:$F,4,0)</f>
        <v>zhongren/Idle</v>
      </c>
      <c r="G5" s="5">
        <v>100</v>
      </c>
      <c r="H5" s="3" t="s">
        <v>12</v>
      </c>
    </row>
    <row r="6" spans="1:8" s="1" customFormat="1" ht="15.6" customHeight="1" x14ac:dyDescent="0.25">
      <c r="A6" s="2">
        <v>4</v>
      </c>
      <c r="B6" s="2">
        <v>650</v>
      </c>
      <c r="C6" s="2">
        <v>0</v>
      </c>
      <c r="D6" s="2">
        <v>3</v>
      </c>
      <c r="E6" s="2">
        <v>4</v>
      </c>
      <c r="F6" s="2" t="str">
        <f>VLOOKUP(H6,[1]武学境界对应招式表!$C:$F,4,0)</f>
        <v>qiangfa/Idle</v>
      </c>
      <c r="G6" s="5">
        <v>100</v>
      </c>
      <c r="H6" s="3" t="s">
        <v>13</v>
      </c>
    </row>
    <row r="7" spans="1:8" s="1" customFormat="1" ht="15.6" customHeight="1" x14ac:dyDescent="0.25">
      <c r="A7" s="2">
        <v>5</v>
      </c>
      <c r="B7" s="2">
        <v>850</v>
      </c>
      <c r="C7" s="2">
        <v>0</v>
      </c>
      <c r="D7" s="2">
        <v>2</v>
      </c>
      <c r="E7" s="2">
        <v>3.2</v>
      </c>
      <c r="F7" s="2" t="str">
        <f>VLOOKUP(H7,[1]武学境界对应招式表!$C:$F,4,0)</f>
        <v>shanzi/Idle</v>
      </c>
      <c r="G7" s="5">
        <v>100</v>
      </c>
      <c r="H7" s="3" t="s">
        <v>24</v>
      </c>
    </row>
    <row r="8" spans="1:8" s="1" customFormat="1" ht="15.6" customHeight="1" x14ac:dyDescent="0.25">
      <c r="A8" s="2">
        <v>6</v>
      </c>
      <c r="B8" s="2">
        <v>800</v>
      </c>
      <c r="C8" s="2">
        <v>1</v>
      </c>
      <c r="D8" s="2">
        <v>5.5</v>
      </c>
      <c r="E8" s="2">
        <v>6.4</v>
      </c>
      <c r="F8" s="2" t="str">
        <f>VLOOKUP(H8,[1]武学境界对应招式表!$C:$F,4,0)</f>
        <v>anqi/Idle</v>
      </c>
      <c r="G8" s="5">
        <v>100</v>
      </c>
      <c r="H8" s="3" t="s">
        <v>14</v>
      </c>
    </row>
    <row r="9" spans="1:8" s="1" customFormat="1" ht="15.6" customHeight="1" x14ac:dyDescent="0.25">
      <c r="A9" s="2">
        <v>7</v>
      </c>
      <c r="B9" s="2">
        <v>0</v>
      </c>
      <c r="C9" s="2"/>
      <c r="D9" s="2">
        <v>0</v>
      </c>
      <c r="E9" s="2">
        <v>0</v>
      </c>
      <c r="F9" s="2"/>
      <c r="G9" s="5">
        <v>100</v>
      </c>
      <c r="H9" s="3">
        <v>0</v>
      </c>
    </row>
    <row r="10" spans="1:8" s="1" customFormat="1" ht="15.6" customHeight="1" x14ac:dyDescent="0.25">
      <c r="A10" s="2">
        <v>8</v>
      </c>
      <c r="B10" s="2">
        <v>0</v>
      </c>
      <c r="C10" s="2"/>
      <c r="D10" s="2">
        <v>0</v>
      </c>
      <c r="E10" s="2">
        <v>0</v>
      </c>
      <c r="F10" s="2"/>
      <c r="G10" s="5">
        <v>100</v>
      </c>
      <c r="H10" s="3">
        <v>0</v>
      </c>
    </row>
    <row r="11" spans="1:8" s="1" customFormat="1" ht="15.6" customHeight="1" x14ac:dyDescent="0.25">
      <c r="A11" s="2">
        <v>9</v>
      </c>
      <c r="B11" s="2">
        <v>950</v>
      </c>
      <c r="C11" s="2">
        <v>0</v>
      </c>
      <c r="D11" s="2">
        <v>2</v>
      </c>
      <c r="E11" s="2">
        <v>3.2</v>
      </c>
      <c r="F11" s="2" t="str">
        <f>VLOOKUP(H11,[1]武学境界对应招式表!$C:$F,4,0)</f>
        <v>tui/Idle</v>
      </c>
      <c r="G11" s="5">
        <v>100</v>
      </c>
      <c r="H11" s="3" t="s">
        <v>15</v>
      </c>
    </row>
    <row r="12" spans="1:8" s="1" customFormat="1" ht="15.6" customHeight="1" x14ac:dyDescent="0.25">
      <c r="A12" s="2">
        <v>10</v>
      </c>
      <c r="B12" s="2">
        <v>750</v>
      </c>
      <c r="C12" s="2">
        <v>0</v>
      </c>
      <c r="D12" s="2">
        <v>3</v>
      </c>
      <c r="E12" s="2">
        <v>4</v>
      </c>
      <c r="F12" s="2" t="str">
        <f>VLOOKUP(H12,[1]武学境界对应招式表!$C:$F,4,0)</f>
        <v>shuangshouqingren/Idle</v>
      </c>
      <c r="G12" s="5">
        <v>100</v>
      </c>
      <c r="H12" s="3" t="s">
        <v>16</v>
      </c>
    </row>
    <row r="13" spans="1:8" s="1" customFormat="1" ht="15.6" customHeight="1" x14ac:dyDescent="0.25">
      <c r="A13" s="2">
        <v>11</v>
      </c>
      <c r="B13" s="2">
        <v>650</v>
      </c>
      <c r="C13" s="2">
        <v>1</v>
      </c>
      <c r="D13" s="2">
        <v>4.5</v>
      </c>
      <c r="E13" s="2">
        <v>4.8</v>
      </c>
      <c r="F13" s="2" t="str">
        <f>VLOOKUP(H13,[1]武学境界对应招式表!$C:$F,4,0)</f>
        <v>shengbiao/Idle</v>
      </c>
      <c r="G13" s="5">
        <v>100</v>
      </c>
      <c r="H13" s="4" t="s">
        <v>17</v>
      </c>
    </row>
    <row r="14" spans="1:8" s="1" customFormat="1" ht="15.6" customHeight="1" x14ac:dyDescent="0.25">
      <c r="A14" s="2">
        <v>12</v>
      </c>
      <c r="B14" s="2">
        <v>700</v>
      </c>
      <c r="C14" s="2">
        <v>1</v>
      </c>
      <c r="D14" s="2">
        <v>5.5</v>
      </c>
      <c r="E14" s="2">
        <v>6.8</v>
      </c>
      <c r="F14" s="2" t="str">
        <f>VLOOKUP(H14,[1]武学境界对应招式表!$C:$F,4,0)</f>
        <v>gongjian/Idle</v>
      </c>
      <c r="G14" s="5">
        <v>100</v>
      </c>
      <c r="H14" s="4" t="s">
        <v>18</v>
      </c>
    </row>
    <row r="15" spans="1:8" s="1" customFormat="1" ht="15.6" customHeight="1" x14ac:dyDescent="0.25">
      <c r="A15" s="2">
        <v>13</v>
      </c>
      <c r="B15" s="2">
        <v>650</v>
      </c>
      <c r="C15" s="2">
        <v>1</v>
      </c>
      <c r="D15" s="2">
        <v>2.5</v>
      </c>
      <c r="E15" s="2">
        <v>4</v>
      </c>
      <c r="F15" s="5" t="s">
        <v>25</v>
      </c>
      <c r="G15" s="5">
        <v>100</v>
      </c>
      <c r="H15" s="4" t="s">
        <v>20</v>
      </c>
    </row>
    <row r="16" spans="1:8" s="1" customFormat="1" ht="15.6" customHeight="1" x14ac:dyDescent="0.25">
      <c r="A16" s="2">
        <v>14</v>
      </c>
      <c r="B16" s="2">
        <v>700</v>
      </c>
      <c r="C16" s="2">
        <v>1</v>
      </c>
      <c r="D16" s="2">
        <v>5.5</v>
      </c>
      <c r="E16" s="2">
        <v>7.2</v>
      </c>
      <c r="F16" s="2" t="str">
        <f>VLOOKUP(H16,[1]武学境界对应招式表!$C:$F,4,0)</f>
        <v>huoqiang/Idle</v>
      </c>
      <c r="G16" s="5">
        <v>100</v>
      </c>
      <c r="H16" s="4" t="s">
        <v>19</v>
      </c>
    </row>
    <row r="17" spans="1:8" s="1" customFormat="1" ht="15.6" customHeight="1" x14ac:dyDescent="0.25">
      <c r="A17" s="2">
        <v>15</v>
      </c>
      <c r="B17" s="2">
        <v>850</v>
      </c>
      <c r="C17" s="2">
        <v>0</v>
      </c>
      <c r="D17" s="2">
        <v>2.5</v>
      </c>
      <c r="E17" s="2">
        <v>4</v>
      </c>
      <c r="F17" s="2" t="str">
        <f>VLOOKUP(H17,[1]武学境界对应招式表!$C:$F,4,0)</f>
        <v>duanbing/Idle</v>
      </c>
      <c r="G17" s="5">
        <v>100</v>
      </c>
      <c r="H17" s="4" t="s">
        <v>21</v>
      </c>
    </row>
  </sheetData>
  <phoneticPr fontId="4" type="noConversion"/>
  <pageMargins left="0.7" right="0.7" top="0.75" bottom="0.75" header="0.3" footer="0.3"/>
  <pageSetup paperSize="9" orientation="portrait" horizontalDpi="360" verticalDpi="36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body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奕轩 张</cp:lastModifiedBy>
  <dcterms:created xsi:type="dcterms:W3CDTF">2006-09-16T00:00:00Z</dcterms:created>
  <dcterms:modified xsi:type="dcterms:W3CDTF">2024-09-04T09:01:26Z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5F2BD6E4A2E34BE4847B8719A2BED52F</vt:lpwstr>
  </property>
  <property fmtid="{D5CDD505-2E9C-101B-9397-08002B2CF9AE}" pid="3" name="KSOProductBuildVer">
    <vt:lpwstr>2052-12.1.0.16729</vt:lpwstr>
  </property>
</Properties>
</file>