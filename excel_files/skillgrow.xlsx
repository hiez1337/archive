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hualong\2DGameWux\Assets\Res\ExcelData\"/>
    </mc:Choice>
  </mc:AlternateContent>
  <xr:revisionPtr revIDLastSave="0" documentId="13_ncr:1_{37A68A2A-FD64-4ABF-BD82-74CE5D383A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Sheet1!$A$1:$H$804</definedName>
  </definedNames>
  <calcPr calcId="191029"/>
</workbook>
</file>

<file path=xl/calcChain.xml><?xml version="1.0" encoding="utf-8"?>
<calcChain xmlns="http://schemas.openxmlformats.org/spreadsheetml/2006/main">
  <c r="E405" i="1" l="1"/>
  <c r="E404" i="1"/>
  <c r="C404" i="1"/>
  <c r="C405" i="1" s="1"/>
  <c r="F403" i="1"/>
  <c r="F404" i="1" s="1"/>
  <c r="F405" i="1" s="1"/>
  <c r="E403" i="1"/>
  <c r="D403" i="1"/>
  <c r="D404" i="1" s="1"/>
  <c r="D405" i="1" s="1"/>
  <c r="C403" i="1"/>
  <c r="E402" i="1"/>
  <c r="E401" i="1"/>
  <c r="E400" i="1"/>
  <c r="E399" i="1"/>
  <c r="E398" i="1"/>
  <c r="E397" i="1"/>
  <c r="E396" i="1"/>
  <c r="E395" i="1"/>
  <c r="E394" i="1"/>
  <c r="E393" i="1"/>
  <c r="E54" i="1"/>
  <c r="E53" i="1"/>
  <c r="F52" i="1"/>
  <c r="F53" i="1" s="1"/>
  <c r="F54" i="1" s="1"/>
  <c r="E52" i="1"/>
  <c r="D52" i="1"/>
  <c r="D53" i="1" s="1"/>
  <c r="D54" i="1" s="1"/>
  <c r="C52" i="1"/>
  <c r="C53" i="1" s="1"/>
  <c r="C54" i="1" s="1"/>
  <c r="E51" i="1"/>
  <c r="E50" i="1"/>
  <c r="E49" i="1"/>
  <c r="E48" i="1"/>
  <c r="E47" i="1"/>
  <c r="E46" i="1"/>
  <c r="E45" i="1"/>
  <c r="E44" i="1"/>
  <c r="E43" i="1"/>
  <c r="E42" i="1"/>
  <c r="E132" i="1"/>
  <c r="E131" i="1"/>
  <c r="F130" i="1"/>
  <c r="F131" i="1" s="1"/>
  <c r="F132" i="1" s="1"/>
  <c r="E130" i="1"/>
  <c r="D130" i="1"/>
  <c r="D131" i="1" s="1"/>
  <c r="D132" i="1" s="1"/>
  <c r="C130" i="1"/>
  <c r="C131" i="1" s="1"/>
  <c r="C132" i="1" s="1"/>
  <c r="E129" i="1"/>
  <c r="E128" i="1"/>
  <c r="E127" i="1"/>
  <c r="E126" i="1"/>
  <c r="E125" i="1"/>
  <c r="E124" i="1"/>
  <c r="E123" i="1"/>
  <c r="E122" i="1"/>
  <c r="E121" i="1"/>
  <c r="E120" i="1"/>
  <c r="E262" i="1"/>
  <c r="E261" i="1"/>
  <c r="F260" i="1"/>
  <c r="F261" i="1" s="1"/>
  <c r="F262" i="1" s="1"/>
  <c r="E260" i="1"/>
  <c r="D260" i="1"/>
  <c r="D261" i="1" s="1"/>
  <c r="D262" i="1" s="1"/>
  <c r="C260" i="1"/>
  <c r="C261" i="1" s="1"/>
  <c r="C262" i="1" s="1"/>
  <c r="E259" i="1"/>
  <c r="E258" i="1"/>
  <c r="E257" i="1"/>
  <c r="E256" i="1"/>
  <c r="E255" i="1"/>
  <c r="E254" i="1"/>
  <c r="E253" i="1"/>
  <c r="E252" i="1"/>
  <c r="E251" i="1"/>
  <c r="E250" i="1"/>
  <c r="E327" i="1"/>
  <c r="E326" i="1"/>
  <c r="F325" i="1"/>
  <c r="F326" i="1" s="1"/>
  <c r="F327" i="1" s="1"/>
  <c r="E325" i="1"/>
  <c r="D325" i="1"/>
  <c r="D326" i="1" s="1"/>
  <c r="D327" i="1" s="1"/>
  <c r="C325" i="1"/>
  <c r="C326" i="1" s="1"/>
  <c r="C327" i="1" s="1"/>
  <c r="E324" i="1"/>
  <c r="E323" i="1"/>
  <c r="E322" i="1"/>
  <c r="E321" i="1"/>
  <c r="E320" i="1"/>
  <c r="E319" i="1"/>
  <c r="E318" i="1"/>
  <c r="E317" i="1"/>
  <c r="E316" i="1"/>
  <c r="E315" i="1"/>
  <c r="E340" i="1"/>
  <c r="E339" i="1"/>
  <c r="F338" i="1"/>
  <c r="F339" i="1" s="1"/>
  <c r="F340" i="1" s="1"/>
  <c r="E338" i="1"/>
  <c r="D338" i="1"/>
  <c r="D339" i="1" s="1"/>
  <c r="D340" i="1" s="1"/>
  <c r="C338" i="1"/>
  <c r="C339" i="1" s="1"/>
  <c r="C340" i="1" s="1"/>
  <c r="E337" i="1"/>
  <c r="E336" i="1"/>
  <c r="E335" i="1"/>
  <c r="E334" i="1"/>
  <c r="E333" i="1"/>
  <c r="E332" i="1"/>
  <c r="E331" i="1"/>
  <c r="E330" i="1"/>
  <c r="E329" i="1"/>
  <c r="E328" i="1"/>
  <c r="F651" i="1"/>
  <c r="E651" i="1"/>
  <c r="D651" i="1"/>
  <c r="C651" i="1"/>
  <c r="F838" i="1"/>
  <c r="E838" i="1"/>
  <c r="D838" i="1"/>
  <c r="C838" i="1"/>
  <c r="E827" i="1"/>
  <c r="E816" i="1"/>
  <c r="E805" i="1"/>
  <c r="E794" i="1"/>
  <c r="G827" i="1"/>
  <c r="F827" i="1"/>
  <c r="D827" i="1"/>
  <c r="C827" i="1"/>
  <c r="B827" i="1"/>
  <c r="A827" i="1"/>
  <c r="G816" i="1"/>
  <c r="F816" i="1"/>
  <c r="D816" i="1"/>
  <c r="C816" i="1"/>
  <c r="B816" i="1"/>
  <c r="A816" i="1"/>
  <c r="G805" i="1"/>
  <c r="F805" i="1"/>
  <c r="D805" i="1"/>
  <c r="C805" i="1"/>
  <c r="B805" i="1"/>
  <c r="A805" i="1"/>
  <c r="G794" i="1"/>
  <c r="F794" i="1"/>
  <c r="D794" i="1"/>
  <c r="C794" i="1"/>
  <c r="B794" i="1"/>
  <c r="A794" i="1"/>
  <c r="G783" i="1"/>
  <c r="F783" i="1"/>
  <c r="E783" i="1"/>
  <c r="D783" i="1"/>
  <c r="C783" i="1"/>
  <c r="B783" i="1"/>
  <c r="A783" i="1"/>
  <c r="G772" i="1"/>
  <c r="F772" i="1"/>
  <c r="E772" i="1"/>
  <c r="D772" i="1"/>
  <c r="C772" i="1"/>
  <c r="B772" i="1"/>
  <c r="A772" i="1"/>
  <c r="G761" i="1"/>
  <c r="F761" i="1"/>
  <c r="E761" i="1"/>
  <c r="D761" i="1"/>
  <c r="C761" i="1"/>
  <c r="B761" i="1"/>
  <c r="A761" i="1"/>
  <c r="G750" i="1"/>
  <c r="F750" i="1"/>
  <c r="E750" i="1"/>
  <c r="D750" i="1"/>
  <c r="C750" i="1"/>
  <c r="B750" i="1"/>
  <c r="A750" i="1"/>
  <c r="G739" i="1"/>
  <c r="F739" i="1"/>
  <c r="E739" i="1"/>
  <c r="D739" i="1"/>
  <c r="C739" i="1"/>
  <c r="B739" i="1"/>
  <c r="A739" i="1"/>
  <c r="G728" i="1"/>
  <c r="F728" i="1"/>
  <c r="E728" i="1"/>
  <c r="D728" i="1"/>
  <c r="C728" i="1"/>
  <c r="B728" i="1"/>
  <c r="A728" i="1"/>
  <c r="G717" i="1"/>
  <c r="F717" i="1"/>
  <c r="E717" i="1"/>
  <c r="D717" i="1"/>
  <c r="C717" i="1"/>
  <c r="B717" i="1"/>
  <c r="A717" i="1"/>
  <c r="G706" i="1"/>
  <c r="F706" i="1"/>
  <c r="E706" i="1"/>
  <c r="D706" i="1"/>
  <c r="C706" i="1"/>
  <c r="B706" i="1"/>
  <c r="A706" i="1"/>
  <c r="G695" i="1"/>
  <c r="F695" i="1"/>
  <c r="E695" i="1"/>
  <c r="D695" i="1"/>
  <c r="C695" i="1"/>
  <c r="B695" i="1"/>
  <c r="A695" i="1"/>
  <c r="G684" i="1"/>
  <c r="F684" i="1"/>
  <c r="E684" i="1"/>
  <c r="D684" i="1"/>
  <c r="C684" i="1"/>
  <c r="B684" i="1"/>
  <c r="A684" i="1"/>
  <c r="G673" i="1"/>
  <c r="F673" i="1"/>
  <c r="E673" i="1"/>
  <c r="D673" i="1"/>
  <c r="C673" i="1"/>
  <c r="B673" i="1"/>
  <c r="A673" i="1"/>
  <c r="G662" i="1"/>
  <c r="F662" i="1"/>
  <c r="E662" i="1"/>
  <c r="D662" i="1"/>
  <c r="C662" i="1"/>
  <c r="B662" i="1"/>
  <c r="A662" i="1"/>
  <c r="G640" i="1"/>
  <c r="F640" i="1"/>
  <c r="E640" i="1"/>
  <c r="D640" i="1"/>
  <c r="C640" i="1"/>
  <c r="B640" i="1"/>
  <c r="A640" i="1"/>
  <c r="G629" i="1"/>
  <c r="F629" i="1"/>
  <c r="E629" i="1"/>
  <c r="D629" i="1"/>
  <c r="C629" i="1"/>
  <c r="B629" i="1"/>
  <c r="A629" i="1"/>
  <c r="G618" i="1"/>
  <c r="F618" i="1"/>
  <c r="E618" i="1"/>
  <c r="D618" i="1"/>
  <c r="C618" i="1"/>
  <c r="B618" i="1"/>
  <c r="A618" i="1"/>
  <c r="G607" i="1"/>
  <c r="F607" i="1"/>
  <c r="E607" i="1"/>
  <c r="D607" i="1"/>
  <c r="C607" i="1"/>
  <c r="B607" i="1"/>
  <c r="A607" i="1"/>
  <c r="G596" i="1"/>
  <c r="F596" i="1"/>
  <c r="E596" i="1"/>
  <c r="D596" i="1"/>
  <c r="C596" i="1"/>
  <c r="B596" i="1"/>
  <c r="A596" i="1"/>
  <c r="G585" i="1"/>
  <c r="F585" i="1"/>
  <c r="E585" i="1"/>
  <c r="D585" i="1"/>
  <c r="C585" i="1"/>
  <c r="B585" i="1"/>
  <c r="A585" i="1"/>
  <c r="G574" i="1"/>
  <c r="F574" i="1"/>
  <c r="E574" i="1"/>
  <c r="D574" i="1"/>
  <c r="C574" i="1"/>
  <c r="B574" i="1"/>
  <c r="A574" i="1"/>
  <c r="G563" i="1"/>
  <c r="F563" i="1"/>
  <c r="E563" i="1"/>
  <c r="D563" i="1"/>
  <c r="C563" i="1"/>
  <c r="B563" i="1"/>
  <c r="A563" i="1"/>
  <c r="G552" i="1"/>
  <c r="F552" i="1"/>
  <c r="E552" i="1"/>
  <c r="D552" i="1"/>
  <c r="C552" i="1"/>
  <c r="B552" i="1"/>
  <c r="A552" i="1"/>
  <c r="G541" i="1"/>
  <c r="F541" i="1"/>
  <c r="E541" i="1"/>
  <c r="D541" i="1"/>
  <c r="C541" i="1"/>
  <c r="B541" i="1"/>
  <c r="A541" i="1"/>
  <c r="G530" i="1"/>
  <c r="F530" i="1"/>
  <c r="E530" i="1"/>
  <c r="D530" i="1"/>
  <c r="C530" i="1"/>
  <c r="B530" i="1"/>
  <c r="A530" i="1"/>
  <c r="G519" i="1"/>
  <c r="F519" i="1"/>
  <c r="E519" i="1"/>
  <c r="D519" i="1"/>
  <c r="C519" i="1"/>
  <c r="B519" i="1"/>
  <c r="A519" i="1"/>
  <c r="G508" i="1"/>
  <c r="F508" i="1"/>
  <c r="E508" i="1"/>
  <c r="D508" i="1"/>
  <c r="C508" i="1"/>
  <c r="B508" i="1"/>
  <c r="A508" i="1"/>
  <c r="G497" i="1"/>
  <c r="F497" i="1"/>
  <c r="E497" i="1"/>
  <c r="D497" i="1"/>
  <c r="C497" i="1"/>
  <c r="B497" i="1"/>
  <c r="A497" i="1"/>
  <c r="G486" i="1"/>
  <c r="F486" i="1"/>
  <c r="E486" i="1"/>
  <c r="D486" i="1"/>
  <c r="C486" i="1"/>
  <c r="B486" i="1"/>
  <c r="A486" i="1"/>
  <c r="G475" i="1"/>
  <c r="F475" i="1"/>
  <c r="E475" i="1"/>
  <c r="D475" i="1"/>
  <c r="C475" i="1"/>
  <c r="B475" i="1"/>
  <c r="A475" i="1"/>
  <c r="G464" i="1"/>
  <c r="F464" i="1"/>
  <c r="E464" i="1"/>
  <c r="D464" i="1"/>
  <c r="C464" i="1"/>
  <c r="B464" i="1"/>
  <c r="A464" i="1"/>
  <c r="G453" i="1"/>
  <c r="F453" i="1"/>
  <c r="E453" i="1"/>
  <c r="D453" i="1"/>
  <c r="C453" i="1"/>
  <c r="B453" i="1"/>
  <c r="A453" i="1"/>
  <c r="E442" i="1"/>
  <c r="G442" i="1"/>
  <c r="F442" i="1"/>
  <c r="D442" i="1"/>
  <c r="C442" i="1"/>
  <c r="B442" i="1"/>
  <c r="A442" i="1"/>
  <c r="E431" i="1"/>
  <c r="E418" i="1"/>
  <c r="E392" i="1"/>
  <c r="E379" i="1"/>
  <c r="E366" i="1"/>
  <c r="E353" i="1"/>
  <c r="E314" i="1"/>
  <c r="E301" i="1"/>
  <c r="E288" i="1"/>
  <c r="E275" i="1"/>
  <c r="E249" i="1"/>
  <c r="E236" i="1"/>
  <c r="E223" i="1"/>
  <c r="G210" i="1"/>
  <c r="E210" i="1"/>
  <c r="B210" i="1"/>
  <c r="A210" i="1"/>
  <c r="E197" i="1"/>
  <c r="E184" i="1"/>
  <c r="E171" i="1"/>
  <c r="G158" i="1"/>
  <c r="E158" i="1"/>
  <c r="B158" i="1"/>
  <c r="A158" i="1"/>
  <c r="E145" i="1"/>
  <c r="E119" i="1"/>
  <c r="E106" i="1"/>
  <c r="E93" i="1"/>
  <c r="E80" i="1"/>
  <c r="E67" i="1"/>
  <c r="E41" i="1"/>
  <c r="E28" i="1"/>
  <c r="E15" i="1"/>
  <c r="E157" i="1"/>
  <c r="F156" i="1"/>
  <c r="F157" i="1" s="1"/>
  <c r="F158" i="1" s="1"/>
  <c r="E156" i="1"/>
  <c r="D156" i="1"/>
  <c r="D157" i="1" s="1"/>
  <c r="D158" i="1" s="1"/>
  <c r="C156" i="1"/>
  <c r="C157" i="1" s="1"/>
  <c r="C158" i="1" s="1"/>
  <c r="E155" i="1"/>
  <c r="E154" i="1"/>
  <c r="E153" i="1"/>
  <c r="E152" i="1"/>
  <c r="E151" i="1"/>
  <c r="E150" i="1"/>
  <c r="E149" i="1"/>
  <c r="E148" i="1"/>
  <c r="E147" i="1"/>
  <c r="E146" i="1"/>
  <c r="E209" i="1"/>
  <c r="F208" i="1"/>
  <c r="F209" i="1" s="1"/>
  <c r="F210" i="1" s="1"/>
  <c r="E208" i="1"/>
  <c r="D208" i="1"/>
  <c r="D209" i="1" s="1"/>
  <c r="D210" i="1" s="1"/>
  <c r="C208" i="1"/>
  <c r="C209" i="1" s="1"/>
  <c r="C210" i="1" s="1"/>
  <c r="E207" i="1"/>
  <c r="E206" i="1"/>
  <c r="E205" i="1"/>
  <c r="E204" i="1"/>
  <c r="E203" i="1"/>
  <c r="E202" i="1"/>
  <c r="E201" i="1"/>
  <c r="E200" i="1"/>
  <c r="E199" i="1"/>
  <c r="E198" i="1"/>
  <c r="E7" i="1"/>
  <c r="E8" i="1"/>
  <c r="E9" i="1"/>
  <c r="E10" i="1"/>
  <c r="E11" i="1"/>
  <c r="E12" i="1"/>
  <c r="E13" i="1"/>
  <c r="E14" i="1"/>
  <c r="E16" i="1"/>
  <c r="E17" i="1"/>
  <c r="E18" i="1"/>
  <c r="E19" i="1"/>
  <c r="E20" i="1"/>
  <c r="E21" i="1"/>
  <c r="E22" i="1"/>
  <c r="E23" i="1"/>
  <c r="E24" i="1"/>
  <c r="E25" i="1"/>
  <c r="E26" i="1"/>
  <c r="E27" i="1"/>
  <c r="E29" i="1"/>
  <c r="E30" i="1"/>
  <c r="E31" i="1"/>
  <c r="E32" i="1"/>
  <c r="E33" i="1"/>
  <c r="E34" i="1"/>
  <c r="E35" i="1"/>
  <c r="E36" i="1"/>
  <c r="E37" i="1"/>
  <c r="E38" i="1"/>
  <c r="E39" i="1"/>
  <c r="E40" i="1"/>
  <c r="E55" i="1"/>
  <c r="E56" i="1"/>
  <c r="E57" i="1"/>
  <c r="E58" i="1"/>
  <c r="E59" i="1"/>
  <c r="E60" i="1"/>
  <c r="E61" i="1"/>
  <c r="E62" i="1"/>
  <c r="E63" i="1"/>
  <c r="E64" i="1"/>
  <c r="E65" i="1"/>
  <c r="E66" i="1"/>
  <c r="E68" i="1"/>
  <c r="E69" i="1"/>
  <c r="E70" i="1"/>
  <c r="E71" i="1"/>
  <c r="E72" i="1"/>
  <c r="E73" i="1"/>
  <c r="E74" i="1"/>
  <c r="E75" i="1"/>
  <c r="E76" i="1"/>
  <c r="E77" i="1"/>
  <c r="E78" i="1"/>
  <c r="E79" i="1"/>
  <c r="E81" i="1"/>
  <c r="E82" i="1"/>
  <c r="E83" i="1"/>
  <c r="E84" i="1"/>
  <c r="E85" i="1"/>
  <c r="E86" i="1"/>
  <c r="E87" i="1"/>
  <c r="E88" i="1"/>
  <c r="E89" i="1"/>
  <c r="E90" i="1"/>
  <c r="E91" i="1"/>
  <c r="E92" i="1"/>
  <c r="E94" i="1"/>
  <c r="E95" i="1"/>
  <c r="E96" i="1"/>
  <c r="E97" i="1"/>
  <c r="E98" i="1"/>
  <c r="E99" i="1"/>
  <c r="E100" i="1"/>
  <c r="E101" i="1"/>
  <c r="E102" i="1"/>
  <c r="E103" i="1"/>
  <c r="E104" i="1"/>
  <c r="E105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" i="1"/>
  <c r="E5" i="1"/>
  <c r="E6" i="1"/>
  <c r="E3" i="1"/>
  <c r="G429" i="1"/>
  <c r="G430" i="1" s="1"/>
  <c r="G431" i="1" s="1"/>
  <c r="F429" i="1"/>
  <c r="F430" i="1" s="1"/>
  <c r="F431" i="1" s="1"/>
  <c r="D429" i="1"/>
  <c r="D430" i="1" s="1"/>
  <c r="D431" i="1" s="1"/>
  <c r="C429" i="1"/>
  <c r="C430" i="1" s="1"/>
  <c r="C431" i="1" s="1"/>
  <c r="B429" i="1"/>
  <c r="B430" i="1" s="1"/>
  <c r="B431" i="1" s="1"/>
  <c r="A429" i="1"/>
  <c r="A430" i="1" s="1"/>
  <c r="A431" i="1" s="1"/>
  <c r="G416" i="1"/>
  <c r="G417" i="1" s="1"/>
  <c r="G418" i="1" s="1"/>
  <c r="F416" i="1"/>
  <c r="F417" i="1" s="1"/>
  <c r="F418" i="1" s="1"/>
  <c r="D416" i="1"/>
  <c r="D417" i="1" s="1"/>
  <c r="D418" i="1" s="1"/>
  <c r="C416" i="1"/>
  <c r="C417" i="1" s="1"/>
  <c r="C418" i="1" s="1"/>
  <c r="B416" i="1"/>
  <c r="B417" i="1" s="1"/>
  <c r="B418" i="1" s="1"/>
  <c r="A416" i="1"/>
  <c r="A417" i="1" s="1"/>
  <c r="A418" i="1" s="1"/>
  <c r="G390" i="1"/>
  <c r="G391" i="1" s="1"/>
  <c r="G392" i="1" s="1"/>
  <c r="F390" i="1"/>
  <c r="F391" i="1" s="1"/>
  <c r="F392" i="1" s="1"/>
  <c r="D390" i="1"/>
  <c r="D391" i="1" s="1"/>
  <c r="D392" i="1" s="1"/>
  <c r="C390" i="1"/>
  <c r="C391" i="1" s="1"/>
  <c r="C392" i="1" s="1"/>
  <c r="B390" i="1"/>
  <c r="B391" i="1" s="1"/>
  <c r="B392" i="1" s="1"/>
  <c r="A390" i="1"/>
  <c r="A391" i="1" s="1"/>
  <c r="A392" i="1" s="1"/>
  <c r="G377" i="1"/>
  <c r="G378" i="1" s="1"/>
  <c r="G379" i="1" s="1"/>
  <c r="F377" i="1"/>
  <c r="F378" i="1" s="1"/>
  <c r="F379" i="1" s="1"/>
  <c r="D377" i="1"/>
  <c r="D378" i="1" s="1"/>
  <c r="D379" i="1" s="1"/>
  <c r="C377" i="1"/>
  <c r="C378" i="1" s="1"/>
  <c r="C379" i="1" s="1"/>
  <c r="B377" i="1"/>
  <c r="B378" i="1" s="1"/>
  <c r="B379" i="1" s="1"/>
  <c r="A377" i="1"/>
  <c r="A378" i="1" s="1"/>
  <c r="A379" i="1" s="1"/>
  <c r="G364" i="1"/>
  <c r="G365" i="1" s="1"/>
  <c r="G366" i="1" s="1"/>
  <c r="F364" i="1"/>
  <c r="F365" i="1" s="1"/>
  <c r="F366" i="1" s="1"/>
  <c r="D364" i="1"/>
  <c r="D365" i="1" s="1"/>
  <c r="D366" i="1" s="1"/>
  <c r="C364" i="1"/>
  <c r="C365" i="1" s="1"/>
  <c r="C366" i="1" s="1"/>
  <c r="B364" i="1"/>
  <c r="B365" i="1" s="1"/>
  <c r="B366" i="1" s="1"/>
  <c r="A364" i="1"/>
  <c r="A365" i="1" s="1"/>
  <c r="A366" i="1" s="1"/>
  <c r="G351" i="1"/>
  <c r="G352" i="1" s="1"/>
  <c r="G353" i="1" s="1"/>
  <c r="F351" i="1"/>
  <c r="F352" i="1" s="1"/>
  <c r="F353" i="1" s="1"/>
  <c r="D351" i="1"/>
  <c r="D352" i="1" s="1"/>
  <c r="D353" i="1" s="1"/>
  <c r="C351" i="1"/>
  <c r="C352" i="1" s="1"/>
  <c r="C353" i="1" s="1"/>
  <c r="B351" i="1"/>
  <c r="B352" i="1" s="1"/>
  <c r="B353" i="1" s="1"/>
  <c r="A351" i="1"/>
  <c r="A352" i="1" s="1"/>
  <c r="A353" i="1" s="1"/>
  <c r="G312" i="1"/>
  <c r="G313" i="1" s="1"/>
  <c r="G314" i="1" s="1"/>
  <c r="F312" i="1"/>
  <c r="F313" i="1" s="1"/>
  <c r="F314" i="1" s="1"/>
  <c r="D312" i="1"/>
  <c r="D313" i="1" s="1"/>
  <c r="D314" i="1" s="1"/>
  <c r="C312" i="1"/>
  <c r="C313" i="1" s="1"/>
  <c r="C314" i="1" s="1"/>
  <c r="B312" i="1"/>
  <c r="B313" i="1" s="1"/>
  <c r="B314" i="1" s="1"/>
  <c r="A312" i="1"/>
  <c r="A313" i="1" s="1"/>
  <c r="A314" i="1" s="1"/>
  <c r="G299" i="1"/>
  <c r="G300" i="1" s="1"/>
  <c r="G301" i="1" s="1"/>
  <c r="F299" i="1"/>
  <c r="F300" i="1" s="1"/>
  <c r="F301" i="1" s="1"/>
  <c r="D299" i="1"/>
  <c r="D300" i="1" s="1"/>
  <c r="D301" i="1" s="1"/>
  <c r="C299" i="1"/>
  <c r="C300" i="1" s="1"/>
  <c r="C301" i="1" s="1"/>
  <c r="B299" i="1"/>
  <c r="B300" i="1" s="1"/>
  <c r="B301" i="1" s="1"/>
  <c r="A299" i="1"/>
  <c r="A300" i="1" s="1"/>
  <c r="A301" i="1" s="1"/>
  <c r="G286" i="1"/>
  <c r="G287" i="1" s="1"/>
  <c r="G288" i="1" s="1"/>
  <c r="F286" i="1"/>
  <c r="F287" i="1" s="1"/>
  <c r="F288" i="1" s="1"/>
  <c r="D286" i="1"/>
  <c r="D287" i="1" s="1"/>
  <c r="D288" i="1" s="1"/>
  <c r="C286" i="1"/>
  <c r="C287" i="1" s="1"/>
  <c r="C288" i="1" s="1"/>
  <c r="B286" i="1"/>
  <c r="B287" i="1" s="1"/>
  <c r="B288" i="1" s="1"/>
  <c r="A286" i="1"/>
  <c r="A287" i="1" s="1"/>
  <c r="A288" i="1" s="1"/>
  <c r="G273" i="1"/>
  <c r="G274" i="1" s="1"/>
  <c r="G275" i="1" s="1"/>
  <c r="F273" i="1"/>
  <c r="F274" i="1" s="1"/>
  <c r="F275" i="1" s="1"/>
  <c r="D273" i="1"/>
  <c r="D274" i="1" s="1"/>
  <c r="D275" i="1" s="1"/>
  <c r="C273" i="1"/>
  <c r="C274" i="1" s="1"/>
  <c r="C275" i="1" s="1"/>
  <c r="B273" i="1"/>
  <c r="B274" i="1" s="1"/>
  <c r="B275" i="1" s="1"/>
  <c r="A273" i="1"/>
  <c r="A274" i="1" s="1"/>
  <c r="A275" i="1" s="1"/>
  <c r="G247" i="1"/>
  <c r="G248" i="1" s="1"/>
  <c r="G249" i="1" s="1"/>
  <c r="F247" i="1"/>
  <c r="F248" i="1" s="1"/>
  <c r="F249" i="1" s="1"/>
  <c r="D247" i="1"/>
  <c r="D248" i="1" s="1"/>
  <c r="D249" i="1" s="1"/>
  <c r="C247" i="1"/>
  <c r="C248" i="1" s="1"/>
  <c r="C249" i="1" s="1"/>
  <c r="B247" i="1"/>
  <c r="B248" i="1" s="1"/>
  <c r="B249" i="1" s="1"/>
  <c r="A247" i="1"/>
  <c r="A248" i="1" s="1"/>
  <c r="A249" i="1" s="1"/>
  <c r="G234" i="1"/>
  <c r="G235" i="1" s="1"/>
  <c r="G236" i="1" s="1"/>
  <c r="F234" i="1"/>
  <c r="F235" i="1" s="1"/>
  <c r="F236" i="1" s="1"/>
  <c r="D234" i="1"/>
  <c r="D235" i="1" s="1"/>
  <c r="D236" i="1" s="1"/>
  <c r="C234" i="1"/>
  <c r="C235" i="1" s="1"/>
  <c r="C236" i="1" s="1"/>
  <c r="B234" i="1"/>
  <c r="B235" i="1" s="1"/>
  <c r="B236" i="1" s="1"/>
  <c r="A234" i="1"/>
  <c r="A235" i="1" s="1"/>
  <c r="A236" i="1" s="1"/>
  <c r="G221" i="1"/>
  <c r="G222" i="1" s="1"/>
  <c r="G223" i="1" s="1"/>
  <c r="F221" i="1"/>
  <c r="F222" i="1" s="1"/>
  <c r="F223" i="1" s="1"/>
  <c r="D221" i="1"/>
  <c r="D222" i="1" s="1"/>
  <c r="D223" i="1" s="1"/>
  <c r="C221" i="1"/>
  <c r="C222" i="1" s="1"/>
  <c r="C223" i="1" s="1"/>
  <c r="B221" i="1"/>
  <c r="B222" i="1" s="1"/>
  <c r="B223" i="1" s="1"/>
  <c r="A221" i="1"/>
  <c r="A222" i="1" s="1"/>
  <c r="A223" i="1" s="1"/>
  <c r="G195" i="1"/>
  <c r="G196" i="1" s="1"/>
  <c r="G197" i="1" s="1"/>
  <c r="F195" i="1"/>
  <c r="F196" i="1" s="1"/>
  <c r="F197" i="1" s="1"/>
  <c r="D195" i="1"/>
  <c r="D196" i="1" s="1"/>
  <c r="D197" i="1" s="1"/>
  <c r="C195" i="1"/>
  <c r="C196" i="1" s="1"/>
  <c r="C197" i="1" s="1"/>
  <c r="B195" i="1"/>
  <c r="B196" i="1" s="1"/>
  <c r="B197" i="1" s="1"/>
  <c r="A195" i="1"/>
  <c r="A196" i="1" s="1"/>
  <c r="A197" i="1" s="1"/>
  <c r="G182" i="1"/>
  <c r="G183" i="1" s="1"/>
  <c r="G184" i="1" s="1"/>
  <c r="F182" i="1"/>
  <c r="F183" i="1" s="1"/>
  <c r="F184" i="1" s="1"/>
  <c r="D182" i="1"/>
  <c r="D183" i="1" s="1"/>
  <c r="D184" i="1" s="1"/>
  <c r="C182" i="1"/>
  <c r="C183" i="1" s="1"/>
  <c r="C184" i="1" s="1"/>
  <c r="B182" i="1"/>
  <c r="B183" i="1" s="1"/>
  <c r="B184" i="1" s="1"/>
  <c r="A182" i="1"/>
  <c r="A183" i="1" s="1"/>
  <c r="A184" i="1" s="1"/>
  <c r="G169" i="1"/>
  <c r="G170" i="1" s="1"/>
  <c r="G171" i="1" s="1"/>
  <c r="F169" i="1"/>
  <c r="F170" i="1" s="1"/>
  <c r="F171" i="1" s="1"/>
  <c r="D169" i="1"/>
  <c r="D170" i="1" s="1"/>
  <c r="D171" i="1" s="1"/>
  <c r="C169" i="1"/>
  <c r="C170" i="1" s="1"/>
  <c r="C171" i="1" s="1"/>
  <c r="B169" i="1"/>
  <c r="B170" i="1" s="1"/>
  <c r="B171" i="1" s="1"/>
  <c r="A169" i="1"/>
  <c r="A170" i="1" s="1"/>
  <c r="A171" i="1" s="1"/>
  <c r="G143" i="1"/>
  <c r="G144" i="1" s="1"/>
  <c r="G145" i="1" s="1"/>
  <c r="F143" i="1"/>
  <c r="F144" i="1" s="1"/>
  <c r="F145" i="1" s="1"/>
  <c r="D143" i="1"/>
  <c r="D144" i="1" s="1"/>
  <c r="D145" i="1" s="1"/>
  <c r="C143" i="1"/>
  <c r="C144" i="1" s="1"/>
  <c r="C145" i="1" s="1"/>
  <c r="B143" i="1"/>
  <c r="B144" i="1" s="1"/>
  <c r="B145" i="1" s="1"/>
  <c r="A143" i="1"/>
  <c r="A144" i="1" s="1"/>
  <c r="A145" i="1" s="1"/>
  <c r="G117" i="1"/>
  <c r="G118" i="1" s="1"/>
  <c r="G119" i="1" s="1"/>
  <c r="F117" i="1"/>
  <c r="F118" i="1" s="1"/>
  <c r="F119" i="1" s="1"/>
  <c r="D117" i="1"/>
  <c r="D118" i="1" s="1"/>
  <c r="D119" i="1" s="1"/>
  <c r="C117" i="1"/>
  <c r="C118" i="1" s="1"/>
  <c r="C119" i="1" s="1"/>
  <c r="B117" i="1"/>
  <c r="B118" i="1" s="1"/>
  <c r="B119" i="1" s="1"/>
  <c r="A117" i="1"/>
  <c r="A118" i="1" s="1"/>
  <c r="A119" i="1" s="1"/>
  <c r="G104" i="1"/>
  <c r="G105" i="1" s="1"/>
  <c r="G106" i="1" s="1"/>
  <c r="F104" i="1"/>
  <c r="F105" i="1" s="1"/>
  <c r="F106" i="1" s="1"/>
  <c r="D104" i="1"/>
  <c r="D105" i="1" s="1"/>
  <c r="D106" i="1" s="1"/>
  <c r="C104" i="1"/>
  <c r="C105" i="1" s="1"/>
  <c r="C106" i="1" s="1"/>
  <c r="B104" i="1"/>
  <c r="B105" i="1" s="1"/>
  <c r="B106" i="1" s="1"/>
  <c r="A104" i="1"/>
  <c r="A105" i="1" s="1"/>
  <c r="A106" i="1" s="1"/>
  <c r="G91" i="1"/>
  <c r="G92" i="1" s="1"/>
  <c r="G93" i="1" s="1"/>
  <c r="F91" i="1"/>
  <c r="F92" i="1" s="1"/>
  <c r="F93" i="1" s="1"/>
  <c r="D91" i="1"/>
  <c r="D92" i="1" s="1"/>
  <c r="D93" i="1" s="1"/>
  <c r="C91" i="1"/>
  <c r="C92" i="1" s="1"/>
  <c r="C93" i="1" s="1"/>
  <c r="B91" i="1"/>
  <c r="B92" i="1" s="1"/>
  <c r="B93" i="1" s="1"/>
  <c r="A91" i="1"/>
  <c r="A92" i="1" s="1"/>
  <c r="A93" i="1" s="1"/>
  <c r="G78" i="1"/>
  <c r="G79" i="1" s="1"/>
  <c r="G80" i="1" s="1"/>
  <c r="F78" i="1"/>
  <c r="F79" i="1" s="1"/>
  <c r="F80" i="1" s="1"/>
  <c r="D78" i="1"/>
  <c r="D79" i="1" s="1"/>
  <c r="D80" i="1" s="1"/>
  <c r="C78" i="1"/>
  <c r="C79" i="1" s="1"/>
  <c r="C80" i="1" s="1"/>
  <c r="B78" i="1"/>
  <c r="B79" i="1" s="1"/>
  <c r="B80" i="1" s="1"/>
  <c r="A78" i="1"/>
  <c r="A79" i="1" s="1"/>
  <c r="A80" i="1" s="1"/>
  <c r="G65" i="1"/>
  <c r="G66" i="1" s="1"/>
  <c r="G67" i="1" s="1"/>
  <c r="F65" i="1"/>
  <c r="F66" i="1" s="1"/>
  <c r="F67" i="1" s="1"/>
  <c r="D65" i="1"/>
  <c r="D66" i="1" s="1"/>
  <c r="D67" i="1" s="1"/>
  <c r="C65" i="1"/>
  <c r="C66" i="1" s="1"/>
  <c r="C67" i="1" s="1"/>
  <c r="B65" i="1"/>
  <c r="B66" i="1" s="1"/>
  <c r="B67" i="1" s="1"/>
  <c r="A65" i="1"/>
  <c r="A66" i="1" s="1"/>
  <c r="A67" i="1" s="1"/>
  <c r="G39" i="1"/>
  <c r="G40" i="1" s="1"/>
  <c r="G41" i="1" s="1"/>
  <c r="F39" i="1"/>
  <c r="F40" i="1" s="1"/>
  <c r="F41" i="1" s="1"/>
  <c r="D39" i="1"/>
  <c r="D40" i="1" s="1"/>
  <c r="D41" i="1" s="1"/>
  <c r="C39" i="1"/>
  <c r="C40" i="1" s="1"/>
  <c r="C41" i="1" s="1"/>
  <c r="B39" i="1"/>
  <c r="B40" i="1" s="1"/>
  <c r="B41" i="1" s="1"/>
  <c r="A39" i="1"/>
  <c r="A40" i="1" s="1"/>
  <c r="A41" i="1" s="1"/>
  <c r="G26" i="1"/>
  <c r="G27" i="1" s="1"/>
  <c r="G28" i="1" s="1"/>
  <c r="F26" i="1"/>
  <c r="F27" i="1" s="1"/>
  <c r="F28" i="1" s="1"/>
  <c r="D26" i="1"/>
  <c r="D27" i="1" s="1"/>
  <c r="D28" i="1" s="1"/>
  <c r="C26" i="1"/>
  <c r="C27" i="1" s="1"/>
  <c r="C28" i="1" s="1"/>
  <c r="B26" i="1"/>
  <c r="B27" i="1" s="1"/>
  <c r="B28" i="1" s="1"/>
  <c r="A26" i="1"/>
  <c r="A27" i="1" s="1"/>
  <c r="A28" i="1" s="1"/>
  <c r="F13" i="1"/>
  <c r="F14" i="1" s="1"/>
  <c r="F15" i="1" s="1"/>
  <c r="G13" i="1"/>
  <c r="G14" i="1" s="1"/>
  <c r="G15" i="1" s="1"/>
  <c r="D13" i="1"/>
  <c r="D14" i="1" s="1"/>
  <c r="D15" i="1" s="1"/>
  <c r="C13" i="1"/>
  <c r="C14" i="1" s="1"/>
  <c r="C15" i="1" s="1"/>
  <c r="B13" i="1"/>
  <c r="B14" i="1" s="1"/>
  <c r="B15" i="1" s="1"/>
  <c r="A13" i="1"/>
  <c r="A14" i="1" s="1"/>
  <c r="A15" i="1" s="1"/>
</calcChain>
</file>

<file path=xl/sharedStrings.xml><?xml version="1.0" encoding="utf-8"?>
<sst xmlns="http://schemas.openxmlformats.org/spreadsheetml/2006/main" count="3208" uniqueCount="407">
  <si>
    <t>招式开启</t>
  </si>
  <si>
    <t>关联武学</t>
  </si>
  <si>
    <t>对应境界等级</t>
  </si>
  <si>
    <t>开启招式所需修为</t>
  </si>
  <si>
    <t>效果</t>
  </si>
  <si>
    <t>对应招式造诣加点</t>
  </si>
  <si>
    <t>备注</t>
  </si>
  <si>
    <t>id</t>
  </si>
  <si>
    <t>parentId</t>
  </si>
  <si>
    <t>level</t>
  </si>
  <si>
    <t>lvUpNeed</t>
  </si>
  <si>
    <t>effect</t>
  </si>
  <si>
    <t>addPoint</t>
  </si>
  <si>
    <t>1010101_1</t>
  </si>
  <si>
    <t>1+0;</t>
  </si>
  <si>
    <t>千锻拳势</t>
  </si>
  <si>
    <t>外功攻击+3</t>
  </si>
  <si>
    <t>1010103_1</t>
  </si>
  <si>
    <t>外功攻击+5</t>
  </si>
  <si>
    <t>外功攻击+27</t>
  </si>
  <si>
    <t>外功攻击+30</t>
  </si>
  <si>
    <t>外功攻击+55</t>
  </si>
  <si>
    <t>外功攻击+80</t>
  </si>
  <si>
    <t>外功攻击+125</t>
  </si>
  <si>
    <t>伏阳开碑拳</t>
  </si>
  <si>
    <t>太极拳</t>
  </si>
  <si>
    <t>1020201_1</t>
  </si>
  <si>
    <t>凌鸿剑势</t>
  </si>
  <si>
    <t>清风剑法</t>
  </si>
  <si>
    <t>沧海观澜刀法</t>
  </si>
  <si>
    <t>两仪剑法</t>
  </si>
  <si>
    <t>浮萍剑术</t>
  </si>
  <si>
    <t>斩铁无锋卷</t>
  </si>
  <si>
    <t>北顾枪法</t>
  </si>
  <si>
    <t>玄黄入阵旌</t>
  </si>
  <si>
    <t>众相菩提杖</t>
  </si>
  <si>
    <t>悲遮扇法</t>
  </si>
  <si>
    <t>小周天扇法</t>
  </si>
  <si>
    <t>暴雨梨花刀</t>
  </si>
  <si>
    <t>醉饮降龙无双式</t>
  </si>
  <si>
    <t>踪影孤鸿</t>
  </si>
  <si>
    <t>无心流·拔刀术</t>
  </si>
  <si>
    <t>密剑·山中石响</t>
  </si>
  <si>
    <t>流缶金绳镖</t>
  </si>
  <si>
    <t>西域火器·珠</t>
  </si>
  <si>
    <t>锋狩控弦决</t>
  </si>
  <si>
    <t>七情缠蛊匕</t>
  </si>
  <si>
    <t>月残经</t>
  </si>
  <si>
    <t>天涯月明章</t>
  </si>
  <si>
    <t>气血上限+24</t>
  </si>
  <si>
    <t>气血上限+48</t>
  </si>
  <si>
    <t>气血上限+122</t>
  </si>
  <si>
    <t>气血上限+195</t>
  </si>
  <si>
    <t>气血上限+244</t>
  </si>
  <si>
    <t>气血上限+342</t>
  </si>
  <si>
    <t>气血上限+400</t>
  </si>
  <si>
    <t>气血上限+489</t>
  </si>
  <si>
    <t>气血上限+538</t>
  </si>
  <si>
    <t>嗤魔祭血真经</t>
  </si>
  <si>
    <t>连珏天璧法</t>
  </si>
  <si>
    <t>玄黎蛊瘴</t>
  </si>
  <si>
    <t>三昧阿修罗道</t>
  </si>
  <si>
    <t>太素灵枢篇</t>
  </si>
  <si>
    <t>气血回复+8</t>
  </si>
  <si>
    <t>气血回复+17</t>
  </si>
  <si>
    <t>气血回复+44</t>
  </si>
  <si>
    <t>气血回复+71</t>
  </si>
  <si>
    <t>气血回复+89</t>
  </si>
  <si>
    <t>气血回复+124</t>
  </si>
  <si>
    <t>气血回复+160</t>
  </si>
  <si>
    <t>气血回复+178</t>
  </si>
  <si>
    <t>气血回复+195</t>
  </si>
  <si>
    <t>太玄混元经</t>
  </si>
  <si>
    <t>悟玄参契</t>
  </si>
  <si>
    <t>吸星噬寰图</t>
  </si>
  <si>
    <t>湘竹葬兰书</t>
  </si>
  <si>
    <t>昭霞别册</t>
  </si>
  <si>
    <t>紫气东来</t>
  </si>
  <si>
    <t>炽霞破晓</t>
  </si>
  <si>
    <t>璨华贯虹</t>
  </si>
  <si>
    <t>熠霞辉朝</t>
  </si>
  <si>
    <t>昼霞凝紫</t>
  </si>
  <si>
    <t>层云叠翳</t>
  </si>
  <si>
    <t>霞清曜阳</t>
  </si>
  <si>
    <t>长天净</t>
  </si>
  <si>
    <t>禅音狮子吼</t>
  </si>
  <si>
    <t>轰雷贯耳</t>
  </si>
  <si>
    <t>乍破天光</t>
  </si>
  <si>
    <t>暮鼓晨钟</t>
  </si>
  <si>
    <t>啸傲湖山</t>
  </si>
  <si>
    <t>驱雷掣电</t>
  </si>
  <si>
    <t>摧枯折腐</t>
  </si>
  <si>
    <t>奔雷谲云</t>
  </si>
  <si>
    <t>龙吟虎啸</t>
  </si>
  <si>
    <t>金钟护体罩</t>
  </si>
  <si>
    <t>无漏金钟</t>
  </si>
  <si>
    <t>金沉共音</t>
  </si>
  <si>
    <t>钟鼎不垢</t>
  </si>
  <si>
    <t>至刚至鸣</t>
  </si>
  <si>
    <t>菩提种</t>
  </si>
  <si>
    <t>烁金抵岳</t>
  </si>
  <si>
    <t>金城汤池</t>
  </si>
  <si>
    <t>广震钟三音</t>
  </si>
  <si>
    <t>太虚无极劲</t>
  </si>
  <si>
    <t>虚实相生</t>
  </si>
  <si>
    <t>阐幽明微</t>
  </si>
  <si>
    <t>见素抱朴</t>
  </si>
  <si>
    <t>为而不争</t>
  </si>
  <si>
    <t>大实若虚</t>
  </si>
  <si>
    <t>持盈避锐</t>
  </si>
  <si>
    <t>天道行乾</t>
  </si>
  <si>
    <t>太虚无极</t>
  </si>
  <si>
    <t>霸王卸甲</t>
  </si>
  <si>
    <t>解甲投戈</t>
  </si>
  <si>
    <t>剽勇轻悍</t>
  </si>
  <si>
    <t>沐血为衣</t>
  </si>
  <si>
    <t>隙末凶终</t>
  </si>
  <si>
    <t>八面威风</t>
  </si>
  <si>
    <t>悍疾如风</t>
  </si>
  <si>
    <t>遗风余烈</t>
  </si>
  <si>
    <t>天衣无缝</t>
  </si>
  <si>
    <t>青囊宝钞</t>
  </si>
  <si>
    <t>妙手生春</t>
  </si>
  <si>
    <t>枯衣法</t>
  </si>
  <si>
    <t>安神法</t>
  </si>
  <si>
    <t>养脉法</t>
  </si>
  <si>
    <t>切剖法</t>
  </si>
  <si>
    <t>识穴法</t>
  </si>
  <si>
    <t>延寿法</t>
  </si>
  <si>
    <t>回生法</t>
  </si>
  <si>
    <t>饮情蛊</t>
  </si>
  <si>
    <t>痴缠两怨</t>
  </si>
  <si>
    <t>愁绪难消</t>
  </si>
  <si>
    <t>欢喜趣</t>
  </si>
  <si>
    <t>如芒囚心</t>
  </si>
  <si>
    <t>离怨无缘</t>
  </si>
  <si>
    <t>抵死生</t>
  </si>
  <si>
    <t>乍见欢</t>
  </si>
  <si>
    <t>情蛊</t>
  </si>
  <si>
    <t>步海阁</t>
  </si>
  <si>
    <t>速度+10</t>
  </si>
  <si>
    <t>赶蝉游身环</t>
  </si>
  <si>
    <t>粘蝉环步</t>
  </si>
  <si>
    <t>被动技能</t>
  </si>
  <si>
    <t>鸣皋烟</t>
  </si>
  <si>
    <t>长亭寒</t>
  </si>
  <si>
    <t>昼夏生</t>
  </si>
  <si>
    <t>蝉鸣秋</t>
  </si>
  <si>
    <t>暮蝉运巧</t>
  </si>
  <si>
    <t>洄流身法</t>
  </si>
  <si>
    <t>川流不息</t>
  </si>
  <si>
    <t>如渠似通</t>
  </si>
  <si>
    <t>水流云散</t>
  </si>
  <si>
    <t>击水穿石</t>
  </si>
  <si>
    <t>洄远山遥</t>
  </si>
  <si>
    <t>易水留歌</t>
  </si>
  <si>
    <t>洛神踏雪步</t>
  </si>
  <si>
    <t>凌波生尘</t>
  </si>
  <si>
    <t>繁霜至曙</t>
  </si>
  <si>
    <t>罗袂掩涕</t>
  </si>
  <si>
    <t>神宵蔽光</t>
  </si>
  <si>
    <t>哀逝异乡</t>
  </si>
  <si>
    <t>鸣玉鸾偕</t>
  </si>
  <si>
    <t>晴梅花步</t>
  </si>
  <si>
    <t>如香故</t>
  </si>
  <si>
    <t>速度+5</t>
  </si>
  <si>
    <t>群芳任妒</t>
  </si>
  <si>
    <t>暗香盖雪</t>
  </si>
  <si>
    <t>暮诗咏雪</t>
  </si>
  <si>
    <t>寒梅缀枝</t>
  </si>
  <si>
    <t>淡墨洗砚</t>
  </si>
  <si>
    <t>犰狳穿滚术</t>
  </si>
  <si>
    <t>梯云纵</t>
  </si>
  <si>
    <t>广凌纳云</t>
  </si>
  <si>
    <t>云鬟梯</t>
  </si>
  <si>
    <t>归藏步</t>
  </si>
  <si>
    <t>太和游身法</t>
  </si>
  <si>
    <t>周而始</t>
  </si>
  <si>
    <t>复纵层云</t>
  </si>
  <si>
    <t>魍魉诡步</t>
  </si>
  <si>
    <t>离魂鬼降</t>
  </si>
  <si>
    <t>影残乱</t>
  </si>
  <si>
    <t>草木皆兵</t>
  </si>
  <si>
    <t>潜影炼形</t>
  </si>
  <si>
    <t>猎戮无常</t>
  </si>
  <si>
    <t>十殿阎罗</t>
  </si>
  <si>
    <t>燕纵步</t>
  </si>
  <si>
    <t>憩燕登云</t>
  </si>
  <si>
    <t>雀环身</t>
  </si>
  <si>
    <t>驻栖巢</t>
  </si>
  <si>
    <t>游隼目</t>
  </si>
  <si>
    <t>翅羽不落</t>
  </si>
  <si>
    <t>燕踏云</t>
  </si>
  <si>
    <t>燕子掠水</t>
  </si>
  <si>
    <t>掠水浮萍</t>
  </si>
  <si>
    <t>长亭远寄</t>
  </si>
  <si>
    <t>阳关三别</t>
  </si>
  <si>
    <t>长亭送晚</t>
  </si>
  <si>
    <t>枫日落</t>
  </si>
  <si>
    <t>十里岸</t>
  </si>
  <si>
    <t>凋晓星</t>
  </si>
  <si>
    <t>碧云天</t>
  </si>
  <si>
    <t>染霜林</t>
  </si>
  <si>
    <t>孤凭栏</t>
  </si>
  <si>
    <t>巫蟒堕月</t>
  </si>
  <si>
    <t>杯弓蛇影</t>
  </si>
  <si>
    <t>黯雨灵风</t>
  </si>
  <si>
    <t>八仙瘴</t>
  </si>
  <si>
    <t>恣穿穴</t>
  </si>
  <si>
    <t>碧鳞缠</t>
  </si>
  <si>
    <t>地游仙</t>
  </si>
  <si>
    <t>金蛟横岭</t>
  </si>
  <si>
    <t>巴蟒吞天</t>
  </si>
  <si>
    <t>凌波微步</t>
  </si>
  <si>
    <t>冰肌玉骨</t>
  </si>
  <si>
    <t>履下生莲</t>
  </si>
  <si>
    <t>竹帛兰心</t>
  </si>
  <si>
    <t>摧刚为柔</t>
  </si>
  <si>
    <t>倾国绝世</t>
  </si>
  <si>
    <t>玉洁松贞</t>
  </si>
  <si>
    <t>绝伦逸群</t>
  </si>
  <si>
    <t>金枝玉叶</t>
  </si>
  <si>
    <t>紫乌啸凤图</t>
  </si>
  <si>
    <t>紫乌啼月</t>
  </si>
  <si>
    <t>羽裳鸿衣</t>
  </si>
  <si>
    <t>飞鸿印雪</t>
  </si>
  <si>
    <t>鸾停鹄峙</t>
  </si>
  <si>
    <t>铩羽暴鳞</t>
  </si>
  <si>
    <t>玄鸟泣江</t>
  </si>
  <si>
    <t>悲凤鸣鸾</t>
  </si>
  <si>
    <t>有凤来仪</t>
  </si>
  <si>
    <t>撼山步</t>
  </si>
  <si>
    <t>叠嶂层峦</t>
  </si>
  <si>
    <t>积石成岭</t>
  </si>
  <si>
    <t>岳秀山明</t>
  </si>
  <si>
    <t>遥嵩岳长</t>
  </si>
  <si>
    <t>千峰百障</t>
  </si>
  <si>
    <t>根牙磐错</t>
  </si>
  <si>
    <t>横峰侧岭</t>
  </si>
  <si>
    <t>山穷水尽</t>
  </si>
  <si>
    <t>外功攻击+6</t>
  </si>
  <si>
    <t>外功攻击+11</t>
  </si>
  <si>
    <t>外功攻击+33</t>
  </si>
  <si>
    <t>外功攻击+60</t>
  </si>
  <si>
    <t>外功攻击+110</t>
  </si>
  <si>
    <t>外功攻击+160</t>
  </si>
  <si>
    <t>外功攻击+250</t>
  </si>
  <si>
    <t>内功攻击+6</t>
  </si>
  <si>
    <t>内功攻击+11</t>
  </si>
  <si>
    <t>内功攻击+33</t>
  </si>
  <si>
    <t>内功攻击+60</t>
  </si>
  <si>
    <t>内功攻击+110</t>
  </si>
  <si>
    <t>内功攻击+160</t>
  </si>
  <si>
    <t>内功攻击+250</t>
  </si>
  <si>
    <t>暴击伤害+0.1</t>
  </si>
  <si>
    <t>暴击伤害+0.2</t>
  </si>
  <si>
    <t>速度+20</t>
  </si>
  <si>
    <t>速度+30</t>
  </si>
  <si>
    <t>速度+40</t>
  </si>
  <si>
    <t>速度+50</t>
  </si>
  <si>
    <t>速度+60</t>
  </si>
  <si>
    <t>速度+70</t>
  </si>
  <si>
    <t>速度+80</t>
  </si>
  <si>
    <t>速度+90</t>
  </si>
  <si>
    <t>速度+100</t>
  </si>
  <si>
    <t>鳞五净蛊鞭</t>
  </si>
  <si>
    <t>逆流十二身</t>
    <phoneticPr fontId="8" type="noConversion"/>
  </si>
  <si>
    <t>逆流逐浪</t>
    <phoneticPr fontId="8" type="noConversion"/>
  </si>
  <si>
    <t>溯回身</t>
    <phoneticPr fontId="8" type="noConversion"/>
  </si>
  <si>
    <t>缠逆身</t>
    <phoneticPr fontId="8" type="noConversion"/>
  </si>
  <si>
    <t>砺石身</t>
    <phoneticPr fontId="8" type="noConversion"/>
  </si>
  <si>
    <t>奔流法</t>
    <phoneticPr fontId="8" type="noConversion"/>
  </si>
  <si>
    <t>立身法</t>
    <phoneticPr fontId="8" type="noConversion"/>
  </si>
  <si>
    <t>千川挂瀑</t>
  </si>
  <si>
    <t>涌涡逆洄</t>
    <phoneticPr fontId="8" type="noConversion"/>
  </si>
  <si>
    <t>支山祁</t>
    <phoneticPr fontId="8" type="noConversion"/>
  </si>
  <si>
    <t>支无祁身</t>
    <phoneticPr fontId="8" type="noConversion"/>
  </si>
  <si>
    <t>破山荡淮</t>
    <phoneticPr fontId="8" type="noConversion"/>
  </si>
  <si>
    <t>涡脉流川</t>
    <phoneticPr fontId="8" type="noConversion"/>
  </si>
  <si>
    <t>淮水锻岳</t>
    <phoneticPr fontId="8" type="noConversion"/>
  </si>
  <si>
    <t>古铁横锁</t>
    <phoneticPr fontId="8" type="noConversion"/>
  </si>
  <si>
    <t>宫阁水君</t>
    <phoneticPr fontId="8" type="noConversion"/>
  </si>
  <si>
    <t>诸邪伏拜</t>
    <phoneticPr fontId="8" type="noConversion"/>
  </si>
  <si>
    <t>予天寿</t>
    <phoneticPr fontId="8" type="noConversion"/>
  </si>
  <si>
    <t>外功攻击+249</t>
    <phoneticPr fontId="8" type="noConversion"/>
  </si>
  <si>
    <t>外功攻击+403</t>
    <phoneticPr fontId="8" type="noConversion"/>
  </si>
  <si>
    <t>内功攻击+3</t>
  </si>
  <si>
    <t>内功攻击+5</t>
  </si>
  <si>
    <t>内功攻击+27</t>
  </si>
  <si>
    <t>内功攻击+30</t>
  </si>
  <si>
    <t>内功攻击+55</t>
  </si>
  <si>
    <t>内功攻击+80</t>
  </si>
  <si>
    <t>内功攻击+125</t>
  </si>
  <si>
    <t>内功攻击+249</t>
  </si>
  <si>
    <t>内功攻击+403</t>
  </si>
  <si>
    <t>气血上限+1680</t>
  </si>
  <si>
    <t>气血上限+2016</t>
  </si>
  <si>
    <t>气血上限+2419</t>
  </si>
  <si>
    <t>气血上限+2902</t>
  </si>
  <si>
    <t>气血上限+3482</t>
  </si>
  <si>
    <t>气血上限+4178</t>
  </si>
  <si>
    <t>气血上限+5013</t>
  </si>
  <si>
    <t>气血上限+6015</t>
  </si>
  <si>
    <t>气血上限+7218</t>
  </si>
  <si>
    <t>镇国抵岳枪</t>
    <phoneticPr fontId="8" type="noConversion"/>
  </si>
  <si>
    <t>醉君侯刀铭</t>
  </si>
  <si>
    <t>七煞铁衣功</t>
  </si>
  <si>
    <t>虎贲阵</t>
  </si>
  <si>
    <t>外功攻击+503</t>
    <phoneticPr fontId="8" type="noConversion"/>
  </si>
  <si>
    <t>内功攻击+503</t>
    <phoneticPr fontId="8" type="noConversion"/>
  </si>
  <si>
    <t>气血上限+8218</t>
    <phoneticPr fontId="8" type="noConversion"/>
  </si>
  <si>
    <t>速度+10</t>
    <phoneticPr fontId="8" type="noConversion"/>
  </si>
  <si>
    <t>影血秘典</t>
    <phoneticPr fontId="8" type="noConversion"/>
  </si>
  <si>
    <t>踏血藏花</t>
    <phoneticPr fontId="8" type="noConversion"/>
  </si>
  <si>
    <t>花落凛生</t>
    <phoneticPr fontId="8" type="noConversion"/>
  </si>
  <si>
    <t>邪冽</t>
    <phoneticPr fontId="8" type="noConversion"/>
  </si>
  <si>
    <t>痕踪</t>
    <phoneticPr fontId="8" type="noConversion"/>
  </si>
  <si>
    <t>藏禁骨</t>
    <phoneticPr fontId="8" type="noConversion"/>
  </si>
  <si>
    <t>饮寒血</t>
    <phoneticPr fontId="8" type="noConversion"/>
  </si>
  <si>
    <t>绽地藏</t>
    <phoneticPr fontId="8" type="noConversion"/>
  </si>
  <si>
    <t>刀痕</t>
    <phoneticPr fontId="8" type="noConversion"/>
  </si>
  <si>
    <t>归冷刃</t>
    <phoneticPr fontId="8" type="noConversion"/>
  </si>
  <si>
    <t>遥望繁花</t>
    <phoneticPr fontId="8" type="noConversion"/>
  </si>
  <si>
    <t>戮婆娑</t>
    <phoneticPr fontId="8" type="noConversion"/>
  </si>
  <si>
    <t>不仁经</t>
  </si>
  <si>
    <t>刍狗红尘世</t>
  </si>
  <si>
    <t>诛世刀</t>
  </si>
  <si>
    <t>恨法晦</t>
  </si>
  <si>
    <t>笑忘生</t>
  </si>
  <si>
    <t>浊世经文</t>
  </si>
  <si>
    <t>枯骨界</t>
  </si>
  <si>
    <t>大悲苦</t>
  </si>
  <si>
    <t>枯守红梅</t>
  </si>
  <si>
    <t>恨人痴</t>
  </si>
  <si>
    <t>离别苦</t>
  </si>
  <si>
    <t>无穷劫</t>
  </si>
  <si>
    <t>天威军阵刀术</t>
    <phoneticPr fontId="8" type="noConversion"/>
  </si>
  <si>
    <t>煌煌天威</t>
    <phoneticPr fontId="8" type="noConversion"/>
  </si>
  <si>
    <t>浩然军威</t>
    <phoneticPr fontId="8" type="noConversion"/>
  </si>
  <si>
    <t>破贼虏</t>
    <phoneticPr fontId="8" type="noConversion"/>
  </si>
  <si>
    <t>荡寇诛邪</t>
    <phoneticPr fontId="8" type="noConversion"/>
  </si>
  <si>
    <t>守土开疆</t>
    <phoneticPr fontId="8" type="noConversion"/>
  </si>
  <si>
    <t>固阵势</t>
    <phoneticPr fontId="8" type="noConversion"/>
  </si>
  <si>
    <t>破敌势</t>
    <phoneticPr fontId="8" type="noConversion"/>
  </si>
  <si>
    <t>威震慑</t>
    <phoneticPr fontId="8" type="noConversion"/>
  </si>
  <si>
    <t>镇邪扶正</t>
    <phoneticPr fontId="8" type="noConversion"/>
  </si>
  <si>
    <t>荡敌营</t>
    <phoneticPr fontId="8" type="noConversion"/>
  </si>
  <si>
    <t>将相首</t>
    <phoneticPr fontId="8" type="noConversion"/>
  </si>
  <si>
    <t>锁山河</t>
    <phoneticPr fontId="8" type="noConversion"/>
  </si>
  <si>
    <t>骋远疆</t>
    <phoneticPr fontId="8" type="noConversion"/>
  </si>
  <si>
    <t>弑流··伐剑取</t>
    <phoneticPr fontId="8" type="noConversion"/>
  </si>
  <si>
    <t>初取·攻伐</t>
    <phoneticPr fontId="8" type="noConversion"/>
  </si>
  <si>
    <t>士道初</t>
    <phoneticPr fontId="8" type="noConversion"/>
  </si>
  <si>
    <t>复取·枯戮</t>
    <phoneticPr fontId="8" type="noConversion"/>
  </si>
  <si>
    <t>转取刃</t>
    <phoneticPr fontId="8" type="noConversion"/>
  </si>
  <si>
    <t>终取·残心</t>
    <phoneticPr fontId="8" type="noConversion"/>
  </si>
  <si>
    <t>影伐步</t>
    <phoneticPr fontId="8" type="noConversion"/>
  </si>
  <si>
    <t>流结营</t>
    <phoneticPr fontId="8" type="noConversion"/>
  </si>
  <si>
    <t>非空繁花</t>
    <phoneticPr fontId="8" type="noConversion"/>
  </si>
  <si>
    <t>秘枯骨</t>
    <phoneticPr fontId="8" type="noConversion"/>
  </si>
  <si>
    <t>夜叉鬼</t>
    <phoneticPr fontId="8" type="noConversion"/>
  </si>
  <si>
    <t>拟修罗</t>
  </si>
  <si>
    <t>空天鬼</t>
  </si>
  <si>
    <t>弑血饮</t>
  </si>
  <si>
    <t>羁离谱</t>
    <phoneticPr fontId="8" type="noConversion"/>
  </si>
  <si>
    <t>闻幽声</t>
    <phoneticPr fontId="8" type="noConversion"/>
  </si>
  <si>
    <t>锥骨</t>
    <phoneticPr fontId="8" type="noConversion"/>
  </si>
  <si>
    <t>追虹影</t>
    <phoneticPr fontId="8" type="noConversion"/>
  </si>
  <si>
    <t>剜心</t>
    <phoneticPr fontId="8" type="noConversion"/>
  </si>
  <si>
    <t>碎灯花</t>
    <phoneticPr fontId="8" type="noConversion"/>
  </si>
  <si>
    <t>削肠</t>
    <phoneticPr fontId="8" type="noConversion"/>
  </si>
  <si>
    <t>破势</t>
    <phoneticPr fontId="8" type="noConversion"/>
  </si>
  <si>
    <t>杀胆</t>
    <phoneticPr fontId="8" type="noConversion"/>
  </si>
  <si>
    <t>绝目</t>
    <phoneticPr fontId="8" type="noConversion"/>
  </si>
  <si>
    <t>夜鸦啼霜</t>
    <phoneticPr fontId="8" type="noConversion"/>
  </si>
  <si>
    <t>千离恨</t>
    <phoneticPr fontId="8" type="noConversion"/>
  </si>
  <si>
    <t>却无愁</t>
    <phoneticPr fontId="8" type="noConversion"/>
  </si>
  <si>
    <t>割穹</t>
    <phoneticPr fontId="8" type="noConversion"/>
  </si>
  <si>
    <t>槎枒寻梅</t>
    <phoneticPr fontId="8" type="noConversion"/>
  </si>
  <si>
    <t>绞青鸾</t>
    <phoneticPr fontId="8" type="noConversion"/>
  </si>
  <si>
    <t>入劫</t>
    <phoneticPr fontId="8" type="noConversion"/>
  </si>
  <si>
    <t>曳芳影</t>
    <phoneticPr fontId="8" type="noConversion"/>
  </si>
  <si>
    <t>胜寒</t>
    <phoneticPr fontId="8" type="noConversion"/>
  </si>
  <si>
    <t>斜窥檐</t>
    <phoneticPr fontId="8" type="noConversion"/>
  </si>
  <si>
    <t>藏雨</t>
    <phoneticPr fontId="8" type="noConversion"/>
  </si>
  <si>
    <t>煮酒</t>
    <phoneticPr fontId="8" type="noConversion"/>
  </si>
  <si>
    <t>琢石</t>
    <phoneticPr fontId="8" type="noConversion"/>
  </si>
  <si>
    <t>翛然</t>
    <phoneticPr fontId="8" type="noConversion"/>
  </si>
  <si>
    <t>意气平生</t>
    <phoneticPr fontId="8" type="noConversion"/>
  </si>
  <si>
    <t>估月</t>
    <phoneticPr fontId="8" type="noConversion"/>
  </si>
  <si>
    <t>牧星</t>
    <phoneticPr fontId="8" type="noConversion"/>
  </si>
  <si>
    <t>凭栏叹</t>
    <phoneticPr fontId="8" type="noConversion"/>
  </si>
  <si>
    <t>神通剑指</t>
    <phoneticPr fontId="8" type="noConversion"/>
  </si>
  <si>
    <t>摘星寥</t>
    <phoneticPr fontId="8" type="noConversion"/>
  </si>
  <si>
    <t>仙人摘星</t>
    <phoneticPr fontId="8" type="noConversion"/>
  </si>
  <si>
    <t>引星穹</t>
    <phoneticPr fontId="8" type="noConversion"/>
  </si>
  <si>
    <t>牵织绕指</t>
    <phoneticPr fontId="8" type="noConversion"/>
  </si>
  <si>
    <t>挂星河</t>
    <phoneticPr fontId="8" type="noConversion"/>
  </si>
  <si>
    <t>星海浩瀚</t>
    <phoneticPr fontId="8" type="noConversion"/>
  </si>
  <si>
    <t>寰宇为棋</t>
    <phoneticPr fontId="8" type="noConversion"/>
  </si>
  <si>
    <t>千川星辰</t>
    <phoneticPr fontId="8" type="noConversion"/>
  </si>
  <si>
    <t>星河倒转</t>
    <phoneticPr fontId="8" type="noConversion"/>
  </si>
  <si>
    <t>北辰灿烂</t>
    <phoneticPr fontId="8" type="noConversion"/>
  </si>
  <si>
    <t>掩垂星</t>
    <phoneticPr fontId="8" type="noConversion"/>
  </si>
  <si>
    <t>瀚海回溯</t>
    <phoneticPr fontId="8" type="noConversion"/>
  </si>
  <si>
    <t>碎寰</t>
    <phoneticPr fontId="8" type="noConversion"/>
  </si>
  <si>
    <t>掣骨金虹决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</si>
</sst>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等线"/>
      <family val="3"/>
      <charset val="134"/>
    </font>
    <font>
      <sz val="10.5"/>
      <color indexed="8"/>
      <name val="等线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等线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9" tint="0.799859614856410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7" fillId="8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5" fillId="12" borderId="1" xfId="0" applyFont="1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5" fillId="0" borderId="0" xfId="0" applyFont="1"/>
    <xf numFmtId="0" fontId="5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0" fillId="13" borderId="0" xfId="0" applyFill="1" applyAlignment="1">
      <alignment horizontal="left"/>
    </xf>
    <xf numFmtId="0" fontId="6" fillId="13" borderId="3" xfId="0" applyFont="1" applyFill="1" applyBorder="1" applyAlignment="1">
      <alignment horizontal="left" vertical="center"/>
    </xf>
    <xf numFmtId="0" fontId="10" fillId="0" borderId="0" xfId="0" applyFont="1"/>
    <xf numFmtId="0" fontId="5" fillId="15" borderId="1" xfId="0" applyFont="1" applyFill="1" applyBorder="1" applyAlignment="1">
      <alignment horizontal="left"/>
    </xf>
    <xf numFmtId="0" fontId="0" fillId="15" borderId="1" xfId="0" applyFill="1" applyBorder="1" applyAlignment="1">
      <alignment horizontal="left"/>
    </xf>
    <xf numFmtId="0" fontId="5" fillId="9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/>
    </xf>
    <xf numFmtId="0" fontId="0" fillId="16" borderId="1" xfId="0" applyFill="1" applyBorder="1" applyAlignment="1">
      <alignment horizontal="left"/>
    </xf>
  </cellXfs>
  <cellStyles count="1">
    <cellStyle name="常规" xfId="0" builtinId="0"/>
  </cellStyles>
  <dxfs count="17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8"/>
  <sheetViews>
    <sheetView tabSelected="1" topLeftCell="A367" zoomScale="85" zoomScaleNormal="85" workbookViewId="0">
      <selection activeCell="K392" sqref="K392"/>
    </sheetView>
  </sheetViews>
  <sheetFormatPr defaultColWidth="9" defaultRowHeight="14" x14ac:dyDescent="0.25"/>
  <cols>
    <col min="1" max="1" width="11.6328125" style="1" customWidth="1"/>
    <col min="2" max="2" width="12.81640625" style="1" customWidth="1"/>
    <col min="3" max="3" width="19.1796875" style="1" customWidth="1"/>
    <col min="4" max="4" width="21.36328125" style="1" customWidth="1"/>
    <col min="5" max="5" width="36.1796875" style="1" customWidth="1"/>
    <col min="6" max="6" width="19" style="1" customWidth="1"/>
    <col min="7" max="7" width="16.08984375" style="1" customWidth="1"/>
    <col min="8" max="8" width="9" style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11" x14ac:dyDescent="0.25">
      <c r="A2" s="2" t="s">
        <v>7</v>
      </c>
      <c r="B2" s="2" t="s">
        <v>8</v>
      </c>
      <c r="C2" s="2" t="s">
        <v>9</v>
      </c>
      <c r="D2" s="2" t="s">
        <v>10</v>
      </c>
      <c r="E2" s="4" t="s">
        <v>11</v>
      </c>
      <c r="F2" s="2" t="s">
        <v>12</v>
      </c>
    </row>
    <row r="3" spans="1:11" x14ac:dyDescent="0.25">
      <c r="A3" s="1" t="s">
        <v>13</v>
      </c>
      <c r="B3" s="1">
        <v>101001</v>
      </c>
      <c r="C3" s="1">
        <v>1</v>
      </c>
      <c r="D3" s="1">
        <v>0</v>
      </c>
      <c r="E3" s="5">
        <f>IF(J3=0,J3,J3&amp;";"&amp;K3)</f>
        <v>0</v>
      </c>
      <c r="F3" s="1" t="s">
        <v>14</v>
      </c>
      <c r="G3" s="1" t="s">
        <v>15</v>
      </c>
      <c r="J3" s="5">
        <v>0</v>
      </c>
      <c r="K3" s="5">
        <v>0</v>
      </c>
    </row>
    <row r="4" spans="1:11" x14ac:dyDescent="0.25">
      <c r="A4" s="1">
        <v>1010102</v>
      </c>
      <c r="B4" s="1">
        <v>101001</v>
      </c>
      <c r="C4" s="1">
        <v>1</v>
      </c>
      <c r="D4" s="1">
        <v>10</v>
      </c>
      <c r="E4" s="5" t="str">
        <f t="shared" ref="E4:E85" si="0">IF(J4=0,J4,J4&amp;";"&amp;K4)</f>
        <v>外功攻击+3;内功攻击+3</v>
      </c>
      <c r="F4" s="1" t="s">
        <v>14</v>
      </c>
      <c r="G4" s="1" t="s">
        <v>15</v>
      </c>
      <c r="J4" s="5" t="s">
        <v>16</v>
      </c>
      <c r="K4" s="5" t="s">
        <v>286</v>
      </c>
    </row>
    <row r="5" spans="1:11" x14ac:dyDescent="0.25">
      <c r="A5" s="1" t="s">
        <v>17</v>
      </c>
      <c r="B5" s="1">
        <v>101001</v>
      </c>
      <c r="C5" s="1">
        <v>1</v>
      </c>
      <c r="D5" s="1">
        <v>0</v>
      </c>
      <c r="E5" s="5">
        <f t="shared" si="0"/>
        <v>0</v>
      </c>
      <c r="F5" s="1" t="s">
        <v>14</v>
      </c>
      <c r="G5" s="1" t="s">
        <v>15</v>
      </c>
      <c r="J5" s="5">
        <v>0</v>
      </c>
      <c r="K5" s="5">
        <v>0</v>
      </c>
    </row>
    <row r="6" spans="1:11" x14ac:dyDescent="0.25">
      <c r="A6" s="1">
        <v>1010104</v>
      </c>
      <c r="B6" s="1">
        <v>101001</v>
      </c>
      <c r="C6" s="1">
        <v>2</v>
      </c>
      <c r="D6" s="1">
        <v>50</v>
      </c>
      <c r="E6" s="5" t="str">
        <f t="shared" si="0"/>
        <v>外功攻击+5;内功攻击+5</v>
      </c>
      <c r="F6" s="1" t="s">
        <v>14</v>
      </c>
      <c r="G6" s="1" t="s">
        <v>15</v>
      </c>
      <c r="J6" s="5" t="s">
        <v>18</v>
      </c>
      <c r="K6" s="5" t="s">
        <v>287</v>
      </c>
    </row>
    <row r="7" spans="1:11" x14ac:dyDescent="0.25">
      <c r="A7" s="1">
        <v>1010105</v>
      </c>
      <c r="B7" s="1">
        <v>101001</v>
      </c>
      <c r="C7" s="1">
        <v>1</v>
      </c>
      <c r="D7" s="1">
        <v>0</v>
      </c>
      <c r="E7" s="5">
        <f t="shared" si="0"/>
        <v>0</v>
      </c>
      <c r="F7" s="1" t="s">
        <v>14</v>
      </c>
      <c r="G7" s="1" t="s">
        <v>15</v>
      </c>
      <c r="J7" s="5">
        <v>0</v>
      </c>
      <c r="K7" s="5">
        <v>0</v>
      </c>
    </row>
    <row r="8" spans="1:11" x14ac:dyDescent="0.25">
      <c r="A8" s="1">
        <v>1010106</v>
      </c>
      <c r="B8" s="1">
        <v>101001</v>
      </c>
      <c r="C8" s="1">
        <v>3</v>
      </c>
      <c r="D8" s="1">
        <v>100</v>
      </c>
      <c r="E8" s="5" t="str">
        <f t="shared" si="0"/>
        <v>外功攻击+27;内功攻击+27</v>
      </c>
      <c r="F8" s="1" t="s">
        <v>14</v>
      </c>
      <c r="G8" s="1" t="s">
        <v>15</v>
      </c>
      <c r="J8" s="5" t="s">
        <v>19</v>
      </c>
      <c r="K8" s="5" t="s">
        <v>288</v>
      </c>
    </row>
    <row r="9" spans="1:11" x14ac:dyDescent="0.25">
      <c r="A9" s="1">
        <v>1010107</v>
      </c>
      <c r="B9" s="1">
        <v>101001</v>
      </c>
      <c r="C9" s="1">
        <v>4</v>
      </c>
      <c r="D9" s="1">
        <v>200</v>
      </c>
      <c r="E9" s="5" t="str">
        <f t="shared" si="0"/>
        <v>外功攻击+30;内功攻击+30</v>
      </c>
      <c r="F9" s="1" t="s">
        <v>14</v>
      </c>
      <c r="G9" s="1" t="s">
        <v>15</v>
      </c>
      <c r="J9" s="5" t="s">
        <v>20</v>
      </c>
      <c r="K9" s="5" t="s">
        <v>289</v>
      </c>
    </row>
    <row r="10" spans="1:11" x14ac:dyDescent="0.25">
      <c r="A10" s="1">
        <v>1010108</v>
      </c>
      <c r="B10" s="1">
        <v>101001</v>
      </c>
      <c r="C10" s="1">
        <v>5</v>
      </c>
      <c r="D10" s="1">
        <v>300</v>
      </c>
      <c r="E10" s="5" t="str">
        <f t="shared" si="0"/>
        <v>外功攻击+55;内功攻击+55</v>
      </c>
      <c r="F10" s="1" t="s">
        <v>14</v>
      </c>
      <c r="G10" s="1" t="s">
        <v>15</v>
      </c>
      <c r="J10" s="5" t="s">
        <v>21</v>
      </c>
      <c r="K10" s="5" t="s">
        <v>290</v>
      </c>
    </row>
    <row r="11" spans="1:11" x14ac:dyDescent="0.25">
      <c r="A11" s="1">
        <v>1010109</v>
      </c>
      <c r="B11" s="1">
        <v>101001</v>
      </c>
      <c r="C11" s="1">
        <v>6</v>
      </c>
      <c r="D11" s="1">
        <v>400</v>
      </c>
      <c r="E11" s="5" t="str">
        <f t="shared" si="0"/>
        <v>外功攻击+80;内功攻击+80</v>
      </c>
      <c r="F11" s="1" t="s">
        <v>14</v>
      </c>
      <c r="G11" s="1" t="s">
        <v>15</v>
      </c>
      <c r="J11" s="5" t="s">
        <v>22</v>
      </c>
      <c r="K11" s="5" t="s">
        <v>291</v>
      </c>
    </row>
    <row r="12" spans="1:11" x14ac:dyDescent="0.25">
      <c r="A12" s="1">
        <v>1010110</v>
      </c>
      <c r="B12" s="1">
        <v>101001</v>
      </c>
      <c r="C12" s="1">
        <v>7</v>
      </c>
      <c r="D12" s="1">
        <v>500</v>
      </c>
      <c r="E12" s="5" t="str">
        <f t="shared" si="0"/>
        <v>外功攻击+125;内功攻击+125</v>
      </c>
      <c r="F12" s="1" t="s">
        <v>14</v>
      </c>
      <c r="G12" s="1" t="s">
        <v>15</v>
      </c>
      <c r="J12" s="5" t="s">
        <v>23</v>
      </c>
      <c r="K12" s="5" t="s">
        <v>292</v>
      </c>
    </row>
    <row r="13" spans="1:11" x14ac:dyDescent="0.25">
      <c r="A13" s="1">
        <f>A12+1</f>
        <v>1010111</v>
      </c>
      <c r="B13" s="1">
        <f>B12</f>
        <v>101001</v>
      </c>
      <c r="C13" s="1">
        <f>C12+1</f>
        <v>8</v>
      </c>
      <c r="D13" s="1">
        <f>D12*2</f>
        <v>1000</v>
      </c>
      <c r="E13" s="5" t="str">
        <f t="shared" si="0"/>
        <v>外功攻击+249;内功攻击+249</v>
      </c>
      <c r="F13" s="1" t="str">
        <f t="shared" ref="F13:G15" si="1">F12</f>
        <v>1+0;</v>
      </c>
      <c r="G13" s="1" t="str">
        <f t="shared" si="1"/>
        <v>千锻拳势</v>
      </c>
      <c r="J13" s="5" t="s">
        <v>284</v>
      </c>
      <c r="K13" s="5" t="s">
        <v>293</v>
      </c>
    </row>
    <row r="14" spans="1:11" x14ac:dyDescent="0.25">
      <c r="A14" s="1">
        <f>A13+1</f>
        <v>1010112</v>
      </c>
      <c r="B14" s="1">
        <f>B13</f>
        <v>101001</v>
      </c>
      <c r="C14" s="1">
        <f>C13+1</f>
        <v>9</v>
      </c>
      <c r="D14" s="1">
        <f>D13+100</f>
        <v>1100</v>
      </c>
      <c r="E14" s="5" t="str">
        <f t="shared" si="0"/>
        <v>外功攻击+403;内功攻击+403</v>
      </c>
      <c r="F14" s="1" t="str">
        <f t="shared" si="1"/>
        <v>1+0;</v>
      </c>
      <c r="G14" s="1" t="str">
        <f t="shared" si="1"/>
        <v>千锻拳势</v>
      </c>
      <c r="J14" s="5" t="s">
        <v>285</v>
      </c>
      <c r="K14" s="5" t="s">
        <v>294</v>
      </c>
    </row>
    <row r="15" spans="1:11" x14ac:dyDescent="0.25">
      <c r="A15" s="1">
        <f>A14+1</f>
        <v>1010113</v>
      </c>
      <c r="B15" s="1">
        <f>B14</f>
        <v>101001</v>
      </c>
      <c r="C15" s="1">
        <f>C14+1</f>
        <v>10</v>
      </c>
      <c r="D15" s="1">
        <f>D14+100</f>
        <v>1200</v>
      </c>
      <c r="E15" s="5" t="str">
        <f t="shared" ref="E15" si="2">IF(J15=0,J15,J15&amp;";"&amp;K15)</f>
        <v>外功攻击+503;内功攻击+503</v>
      </c>
      <c r="F15" s="1" t="str">
        <f t="shared" si="1"/>
        <v>1+0;</v>
      </c>
      <c r="G15" s="1" t="str">
        <f t="shared" si="1"/>
        <v>千锻拳势</v>
      </c>
      <c r="J15" s="5" t="s">
        <v>308</v>
      </c>
      <c r="K15" s="5" t="s">
        <v>309</v>
      </c>
    </row>
    <row r="16" spans="1:11" x14ac:dyDescent="0.25">
      <c r="A16" s="1">
        <v>1010201</v>
      </c>
      <c r="B16" s="1">
        <v>101002</v>
      </c>
      <c r="C16" s="1">
        <v>1</v>
      </c>
      <c r="D16" s="1">
        <v>0</v>
      </c>
      <c r="E16" s="5">
        <f t="shared" si="0"/>
        <v>0</v>
      </c>
      <c r="F16" s="1" t="s">
        <v>14</v>
      </c>
      <c r="G16" s="1" t="s">
        <v>24</v>
      </c>
      <c r="J16" s="5">
        <v>0</v>
      </c>
      <c r="K16" s="5">
        <v>0</v>
      </c>
    </row>
    <row r="17" spans="1:11" x14ac:dyDescent="0.25">
      <c r="A17" s="1">
        <v>1010202</v>
      </c>
      <c r="B17" s="1">
        <v>101002</v>
      </c>
      <c r="C17" s="1">
        <v>1</v>
      </c>
      <c r="D17" s="1">
        <v>10</v>
      </c>
      <c r="E17" s="5" t="str">
        <f t="shared" si="0"/>
        <v>外功攻击+3;内功攻击+3</v>
      </c>
      <c r="F17" s="1" t="s">
        <v>14</v>
      </c>
      <c r="G17" s="1" t="s">
        <v>24</v>
      </c>
      <c r="J17" s="5" t="s">
        <v>16</v>
      </c>
      <c r="K17" s="5" t="s">
        <v>286</v>
      </c>
    </row>
    <row r="18" spans="1:11" x14ac:dyDescent="0.25">
      <c r="A18" s="1">
        <v>1010203</v>
      </c>
      <c r="B18" s="1">
        <v>101002</v>
      </c>
      <c r="C18" s="1">
        <v>1</v>
      </c>
      <c r="D18" s="1">
        <v>0</v>
      </c>
      <c r="E18" s="5">
        <f t="shared" si="0"/>
        <v>0</v>
      </c>
      <c r="F18" s="1" t="s">
        <v>14</v>
      </c>
      <c r="G18" s="1" t="s">
        <v>24</v>
      </c>
      <c r="J18" s="5">
        <v>0</v>
      </c>
      <c r="K18" s="5">
        <v>0</v>
      </c>
    </row>
    <row r="19" spans="1:11" x14ac:dyDescent="0.25">
      <c r="A19" s="1">
        <v>1010204</v>
      </c>
      <c r="B19" s="1">
        <v>101002</v>
      </c>
      <c r="C19" s="1">
        <v>2</v>
      </c>
      <c r="D19" s="1">
        <v>50</v>
      </c>
      <c r="E19" s="5" t="str">
        <f t="shared" si="0"/>
        <v>外功攻击+5;内功攻击+5</v>
      </c>
      <c r="F19" s="1" t="s">
        <v>14</v>
      </c>
      <c r="G19" s="1" t="s">
        <v>24</v>
      </c>
      <c r="J19" s="5" t="s">
        <v>18</v>
      </c>
      <c r="K19" s="5" t="s">
        <v>287</v>
      </c>
    </row>
    <row r="20" spans="1:11" x14ac:dyDescent="0.25">
      <c r="A20" s="1">
        <v>1010205</v>
      </c>
      <c r="B20" s="1">
        <v>101002</v>
      </c>
      <c r="C20" s="1">
        <v>1</v>
      </c>
      <c r="D20" s="1">
        <v>0</v>
      </c>
      <c r="E20" s="5">
        <f t="shared" si="0"/>
        <v>0</v>
      </c>
      <c r="F20" s="1" t="s">
        <v>14</v>
      </c>
      <c r="G20" s="1" t="s">
        <v>24</v>
      </c>
      <c r="J20" s="5">
        <v>0</v>
      </c>
      <c r="K20" s="5">
        <v>0</v>
      </c>
    </row>
    <row r="21" spans="1:11" x14ac:dyDescent="0.25">
      <c r="A21" s="1">
        <v>1010206</v>
      </c>
      <c r="B21" s="1">
        <v>101002</v>
      </c>
      <c r="C21" s="1">
        <v>3</v>
      </c>
      <c r="D21" s="1">
        <v>100</v>
      </c>
      <c r="E21" s="5" t="str">
        <f t="shared" si="0"/>
        <v>外功攻击+27;内功攻击+27</v>
      </c>
      <c r="F21" s="1" t="s">
        <v>14</v>
      </c>
      <c r="G21" s="1" t="s">
        <v>24</v>
      </c>
      <c r="J21" s="5" t="s">
        <v>19</v>
      </c>
      <c r="K21" s="5" t="s">
        <v>288</v>
      </c>
    </row>
    <row r="22" spans="1:11" x14ac:dyDescent="0.25">
      <c r="A22" s="1">
        <v>1010207</v>
      </c>
      <c r="B22" s="1">
        <v>101002</v>
      </c>
      <c r="C22" s="1">
        <v>4</v>
      </c>
      <c r="D22" s="1">
        <v>200</v>
      </c>
      <c r="E22" s="5" t="str">
        <f t="shared" si="0"/>
        <v>外功攻击+30;内功攻击+30</v>
      </c>
      <c r="F22" s="1" t="s">
        <v>14</v>
      </c>
      <c r="G22" s="1" t="s">
        <v>24</v>
      </c>
      <c r="J22" s="5" t="s">
        <v>20</v>
      </c>
      <c r="K22" s="5" t="s">
        <v>289</v>
      </c>
    </row>
    <row r="23" spans="1:11" x14ac:dyDescent="0.25">
      <c r="A23" s="1">
        <v>1010208</v>
      </c>
      <c r="B23" s="1">
        <v>101002</v>
      </c>
      <c r="C23" s="1">
        <v>5</v>
      </c>
      <c r="D23" s="1">
        <v>300</v>
      </c>
      <c r="E23" s="5" t="str">
        <f t="shared" si="0"/>
        <v>外功攻击+55;内功攻击+55</v>
      </c>
      <c r="F23" s="1" t="s">
        <v>14</v>
      </c>
      <c r="G23" s="1" t="s">
        <v>24</v>
      </c>
      <c r="J23" s="5" t="s">
        <v>21</v>
      </c>
      <c r="K23" s="5" t="s">
        <v>290</v>
      </c>
    </row>
    <row r="24" spans="1:11" x14ac:dyDescent="0.25">
      <c r="A24" s="1">
        <v>1010209</v>
      </c>
      <c r="B24" s="1">
        <v>101002</v>
      </c>
      <c r="C24" s="1">
        <v>6</v>
      </c>
      <c r="D24" s="1">
        <v>400</v>
      </c>
      <c r="E24" s="5" t="str">
        <f t="shared" si="0"/>
        <v>外功攻击+80;内功攻击+80</v>
      </c>
      <c r="F24" s="1" t="s">
        <v>14</v>
      </c>
      <c r="G24" s="1" t="s">
        <v>24</v>
      </c>
      <c r="J24" s="5" t="s">
        <v>22</v>
      </c>
      <c r="K24" s="5" t="s">
        <v>291</v>
      </c>
    </row>
    <row r="25" spans="1:11" x14ac:dyDescent="0.25">
      <c r="A25" s="1">
        <v>1010210</v>
      </c>
      <c r="B25" s="1">
        <v>101002</v>
      </c>
      <c r="C25" s="1">
        <v>7</v>
      </c>
      <c r="D25" s="1">
        <v>500</v>
      </c>
      <c r="E25" s="5" t="str">
        <f t="shared" si="0"/>
        <v>外功攻击+125;内功攻击+125</v>
      </c>
      <c r="F25" s="1" t="s">
        <v>14</v>
      </c>
      <c r="G25" s="1" t="s">
        <v>24</v>
      </c>
      <c r="J25" s="5" t="s">
        <v>23</v>
      </c>
      <c r="K25" s="5" t="s">
        <v>292</v>
      </c>
    </row>
    <row r="26" spans="1:11" x14ac:dyDescent="0.25">
      <c r="A26" s="1">
        <f>A25+1</f>
        <v>1010211</v>
      </c>
      <c r="B26" s="1">
        <f>B25</f>
        <v>101002</v>
      </c>
      <c r="C26" s="1">
        <f>C25+1</f>
        <v>8</v>
      </c>
      <c r="D26" s="1">
        <f>D25*2</f>
        <v>1000</v>
      </c>
      <c r="E26" s="5" t="str">
        <f t="shared" si="0"/>
        <v>外功攻击+249;内功攻击+249</v>
      </c>
      <c r="F26" s="1" t="str">
        <f t="shared" ref="F26:G28" si="3">F25</f>
        <v>1+0;</v>
      </c>
      <c r="G26" s="1" t="str">
        <f t="shared" si="3"/>
        <v>伏阳开碑拳</v>
      </c>
      <c r="J26" s="5" t="s">
        <v>284</v>
      </c>
      <c r="K26" s="5" t="s">
        <v>293</v>
      </c>
    </row>
    <row r="27" spans="1:11" x14ac:dyDescent="0.25">
      <c r="A27" s="1">
        <f>A26+1</f>
        <v>1010212</v>
      </c>
      <c r="B27" s="1">
        <f>B26</f>
        <v>101002</v>
      </c>
      <c r="C27" s="1">
        <f>C26+1</f>
        <v>9</v>
      </c>
      <c r="D27" s="1">
        <f>D26+100</f>
        <v>1100</v>
      </c>
      <c r="E27" s="5" t="str">
        <f t="shared" si="0"/>
        <v>外功攻击+403;内功攻击+403</v>
      </c>
      <c r="F27" s="1" t="str">
        <f t="shared" si="3"/>
        <v>1+0;</v>
      </c>
      <c r="G27" s="1" t="str">
        <f t="shared" si="3"/>
        <v>伏阳开碑拳</v>
      </c>
      <c r="J27" s="5" t="s">
        <v>285</v>
      </c>
      <c r="K27" s="5" t="s">
        <v>294</v>
      </c>
    </row>
    <row r="28" spans="1:11" x14ac:dyDescent="0.25">
      <c r="A28" s="1">
        <f>A27+1</f>
        <v>1010213</v>
      </c>
      <c r="B28" s="1">
        <f>B27</f>
        <v>101002</v>
      </c>
      <c r="C28" s="1">
        <f>C27+1</f>
        <v>10</v>
      </c>
      <c r="D28" s="1">
        <f>D27+100</f>
        <v>1200</v>
      </c>
      <c r="E28" s="5" t="str">
        <f t="shared" si="0"/>
        <v>外功攻击+503;内功攻击+503</v>
      </c>
      <c r="F28" s="1" t="str">
        <f t="shared" si="3"/>
        <v>1+0;</v>
      </c>
      <c r="G28" s="1" t="str">
        <f t="shared" si="3"/>
        <v>伏阳开碑拳</v>
      </c>
      <c r="J28" s="5" t="s">
        <v>308</v>
      </c>
      <c r="K28" s="5" t="s">
        <v>309</v>
      </c>
    </row>
    <row r="29" spans="1:11" x14ac:dyDescent="0.25">
      <c r="A29" s="1">
        <v>1010301</v>
      </c>
      <c r="B29" s="1">
        <v>101003</v>
      </c>
      <c r="C29" s="1">
        <v>1</v>
      </c>
      <c r="D29" s="1">
        <v>0</v>
      </c>
      <c r="E29" s="5">
        <f t="shared" si="0"/>
        <v>0</v>
      </c>
      <c r="F29" s="1" t="s">
        <v>14</v>
      </c>
      <c r="G29" s="1" t="s">
        <v>25</v>
      </c>
      <c r="J29" s="5">
        <v>0</v>
      </c>
      <c r="K29" s="5">
        <v>0</v>
      </c>
    </row>
    <row r="30" spans="1:11" x14ac:dyDescent="0.25">
      <c r="A30" s="1">
        <v>1010302</v>
      </c>
      <c r="B30" s="1">
        <v>101003</v>
      </c>
      <c r="C30" s="1">
        <v>1</v>
      </c>
      <c r="D30" s="1">
        <v>10</v>
      </c>
      <c r="E30" s="5" t="str">
        <f t="shared" si="0"/>
        <v>外功攻击+3;内功攻击+3</v>
      </c>
      <c r="F30" s="1" t="s">
        <v>14</v>
      </c>
      <c r="G30" s="1" t="s">
        <v>25</v>
      </c>
      <c r="J30" s="5" t="s">
        <v>16</v>
      </c>
      <c r="K30" s="5" t="s">
        <v>286</v>
      </c>
    </row>
    <row r="31" spans="1:11" x14ac:dyDescent="0.25">
      <c r="A31" s="1">
        <v>1010303</v>
      </c>
      <c r="B31" s="1">
        <v>101003</v>
      </c>
      <c r="C31" s="1">
        <v>1</v>
      </c>
      <c r="D31" s="1">
        <v>0</v>
      </c>
      <c r="E31" s="5">
        <f t="shared" si="0"/>
        <v>0</v>
      </c>
      <c r="F31" s="1" t="s">
        <v>14</v>
      </c>
      <c r="G31" s="1" t="s">
        <v>25</v>
      </c>
      <c r="J31" s="5">
        <v>0</v>
      </c>
      <c r="K31" s="5">
        <v>0</v>
      </c>
    </row>
    <row r="32" spans="1:11" x14ac:dyDescent="0.25">
      <c r="A32" s="1">
        <v>1010304</v>
      </c>
      <c r="B32" s="1">
        <v>101003</v>
      </c>
      <c r="C32" s="1">
        <v>2</v>
      </c>
      <c r="D32" s="1">
        <v>50</v>
      </c>
      <c r="E32" s="5" t="str">
        <f t="shared" si="0"/>
        <v>外功攻击+5;内功攻击+5</v>
      </c>
      <c r="F32" s="1" t="s">
        <v>14</v>
      </c>
      <c r="G32" s="1" t="s">
        <v>25</v>
      </c>
      <c r="J32" s="5" t="s">
        <v>18</v>
      </c>
      <c r="K32" s="5" t="s">
        <v>287</v>
      </c>
    </row>
    <row r="33" spans="1:11" x14ac:dyDescent="0.25">
      <c r="A33" s="1">
        <v>1010305</v>
      </c>
      <c r="B33" s="1">
        <v>101003</v>
      </c>
      <c r="C33" s="1">
        <v>1</v>
      </c>
      <c r="D33" s="1">
        <v>0</v>
      </c>
      <c r="E33" s="5">
        <f t="shared" si="0"/>
        <v>0</v>
      </c>
      <c r="F33" s="1" t="s">
        <v>14</v>
      </c>
      <c r="G33" s="1" t="s">
        <v>25</v>
      </c>
      <c r="J33" s="5">
        <v>0</v>
      </c>
      <c r="K33" s="5">
        <v>0</v>
      </c>
    </row>
    <row r="34" spans="1:11" x14ac:dyDescent="0.25">
      <c r="A34" s="1">
        <v>1010306</v>
      </c>
      <c r="B34" s="1">
        <v>101003</v>
      </c>
      <c r="C34" s="1">
        <v>3</v>
      </c>
      <c r="D34" s="1">
        <v>100</v>
      </c>
      <c r="E34" s="5" t="str">
        <f t="shared" si="0"/>
        <v>外功攻击+27;内功攻击+27</v>
      </c>
      <c r="F34" s="1" t="s">
        <v>14</v>
      </c>
      <c r="G34" s="1" t="s">
        <v>25</v>
      </c>
      <c r="J34" s="5" t="s">
        <v>19</v>
      </c>
      <c r="K34" s="5" t="s">
        <v>288</v>
      </c>
    </row>
    <row r="35" spans="1:11" x14ac:dyDescent="0.25">
      <c r="A35" s="1">
        <v>1010307</v>
      </c>
      <c r="B35" s="1">
        <v>101003</v>
      </c>
      <c r="C35" s="1">
        <v>4</v>
      </c>
      <c r="D35" s="1">
        <v>200</v>
      </c>
      <c r="E35" s="5" t="str">
        <f t="shared" si="0"/>
        <v>外功攻击+30;内功攻击+30</v>
      </c>
      <c r="F35" s="1" t="s">
        <v>14</v>
      </c>
      <c r="G35" s="1" t="s">
        <v>25</v>
      </c>
      <c r="J35" s="5" t="s">
        <v>20</v>
      </c>
      <c r="K35" s="5" t="s">
        <v>289</v>
      </c>
    </row>
    <row r="36" spans="1:11" x14ac:dyDescent="0.25">
      <c r="A36" s="1">
        <v>1010308</v>
      </c>
      <c r="B36" s="1">
        <v>101003</v>
      </c>
      <c r="C36" s="1">
        <v>5</v>
      </c>
      <c r="D36" s="1">
        <v>300</v>
      </c>
      <c r="E36" s="5" t="str">
        <f t="shared" si="0"/>
        <v>外功攻击+55;内功攻击+55</v>
      </c>
      <c r="F36" s="1" t="s">
        <v>14</v>
      </c>
      <c r="G36" s="1" t="s">
        <v>25</v>
      </c>
      <c r="J36" s="5" t="s">
        <v>21</v>
      </c>
      <c r="K36" s="5" t="s">
        <v>290</v>
      </c>
    </row>
    <row r="37" spans="1:11" x14ac:dyDescent="0.25">
      <c r="A37" s="1">
        <v>1010309</v>
      </c>
      <c r="B37" s="1">
        <v>101003</v>
      </c>
      <c r="C37" s="1">
        <v>6</v>
      </c>
      <c r="D37" s="1">
        <v>400</v>
      </c>
      <c r="E37" s="5" t="str">
        <f t="shared" si="0"/>
        <v>外功攻击+80;内功攻击+80</v>
      </c>
      <c r="F37" s="1" t="s">
        <v>14</v>
      </c>
      <c r="G37" s="1" t="s">
        <v>25</v>
      </c>
      <c r="J37" s="5" t="s">
        <v>22</v>
      </c>
      <c r="K37" s="5" t="s">
        <v>291</v>
      </c>
    </row>
    <row r="38" spans="1:11" x14ac:dyDescent="0.25">
      <c r="A38" s="1">
        <v>1010310</v>
      </c>
      <c r="B38" s="1">
        <v>101003</v>
      </c>
      <c r="C38" s="1">
        <v>7</v>
      </c>
      <c r="D38" s="1">
        <v>500</v>
      </c>
      <c r="E38" s="5" t="str">
        <f t="shared" si="0"/>
        <v>外功攻击+125;内功攻击+125</v>
      </c>
      <c r="F38" s="1" t="s">
        <v>14</v>
      </c>
      <c r="G38" s="1" t="s">
        <v>25</v>
      </c>
      <c r="J38" s="5" t="s">
        <v>23</v>
      </c>
      <c r="K38" s="5" t="s">
        <v>292</v>
      </c>
    </row>
    <row r="39" spans="1:11" x14ac:dyDescent="0.25">
      <c r="A39" s="1">
        <f>A38+1</f>
        <v>1010311</v>
      </c>
      <c r="B39" s="1">
        <f>B38</f>
        <v>101003</v>
      </c>
      <c r="C39" s="1">
        <f>C38+1</f>
        <v>8</v>
      </c>
      <c r="D39" s="1">
        <f>D38*2</f>
        <v>1000</v>
      </c>
      <c r="E39" s="5" t="str">
        <f t="shared" si="0"/>
        <v>外功攻击+249;内功攻击+249</v>
      </c>
      <c r="F39" s="1" t="str">
        <f t="shared" ref="F39:G41" si="4">F38</f>
        <v>1+0;</v>
      </c>
      <c r="G39" s="1" t="str">
        <f t="shared" si="4"/>
        <v>太极拳</v>
      </c>
      <c r="J39" s="5" t="s">
        <v>284</v>
      </c>
      <c r="K39" s="5" t="s">
        <v>293</v>
      </c>
    </row>
    <row r="40" spans="1:11" x14ac:dyDescent="0.25">
      <c r="A40" s="1">
        <f>A39+1</f>
        <v>1010312</v>
      </c>
      <c r="B40" s="1">
        <f>B39</f>
        <v>101003</v>
      </c>
      <c r="C40" s="1">
        <f>C39+1</f>
        <v>9</v>
      </c>
      <c r="D40" s="1">
        <f>D39+100</f>
        <v>1100</v>
      </c>
      <c r="E40" s="5" t="str">
        <f t="shared" si="0"/>
        <v>外功攻击+403;内功攻击+403</v>
      </c>
      <c r="F40" s="1" t="str">
        <f t="shared" si="4"/>
        <v>1+0;</v>
      </c>
      <c r="G40" s="1" t="str">
        <f t="shared" si="4"/>
        <v>太极拳</v>
      </c>
      <c r="J40" s="5" t="s">
        <v>285</v>
      </c>
      <c r="K40" s="5" t="s">
        <v>294</v>
      </c>
    </row>
    <row r="41" spans="1:11" x14ac:dyDescent="0.25">
      <c r="A41" s="1">
        <f>A40+1</f>
        <v>1010313</v>
      </c>
      <c r="B41" s="1">
        <f>B40</f>
        <v>101003</v>
      </c>
      <c r="C41" s="1">
        <f>C40+1</f>
        <v>10</v>
      </c>
      <c r="D41" s="1">
        <f>D40+100</f>
        <v>1200</v>
      </c>
      <c r="E41" s="5" t="str">
        <f t="shared" ref="E41:E53" si="5">IF(J41=0,J41,J41&amp;";"&amp;K41)</f>
        <v>外功攻击+503;内功攻击+503</v>
      </c>
      <c r="F41" s="1" t="str">
        <f t="shared" si="4"/>
        <v>1+0;</v>
      </c>
      <c r="G41" s="1" t="str">
        <f t="shared" si="4"/>
        <v>太极拳</v>
      </c>
      <c r="J41" s="5" t="s">
        <v>308</v>
      </c>
      <c r="K41" s="5" t="s">
        <v>309</v>
      </c>
    </row>
    <row r="42" spans="1:11" x14ac:dyDescent="0.25">
      <c r="A42" s="1">
        <v>1010401</v>
      </c>
      <c r="B42" s="1">
        <v>101004</v>
      </c>
      <c r="C42" s="1">
        <v>1</v>
      </c>
      <c r="D42" s="1">
        <v>0</v>
      </c>
      <c r="E42" s="5">
        <f t="shared" si="5"/>
        <v>0</v>
      </c>
      <c r="F42" s="1" t="s">
        <v>14</v>
      </c>
      <c r="G42" s="48" t="s">
        <v>392</v>
      </c>
      <c r="H42" s="48" t="s">
        <v>393</v>
      </c>
      <c r="J42" s="5">
        <v>0</v>
      </c>
      <c r="K42" s="5">
        <v>0</v>
      </c>
    </row>
    <row r="43" spans="1:11" x14ac:dyDescent="0.25">
      <c r="A43" s="1">
        <v>1010402</v>
      </c>
      <c r="B43" s="1">
        <v>101004</v>
      </c>
      <c r="C43" s="1">
        <v>1</v>
      </c>
      <c r="D43" s="1">
        <v>10</v>
      </c>
      <c r="E43" s="5" t="str">
        <f t="shared" si="5"/>
        <v>外功攻击+3;内功攻击+3</v>
      </c>
      <c r="F43" s="1" t="s">
        <v>14</v>
      </c>
      <c r="G43" s="49" t="s">
        <v>392</v>
      </c>
      <c r="H43" s="48" t="s">
        <v>394</v>
      </c>
      <c r="J43" s="5" t="s">
        <v>16</v>
      </c>
      <c r="K43" s="5" t="s">
        <v>286</v>
      </c>
    </row>
    <row r="44" spans="1:11" x14ac:dyDescent="0.25">
      <c r="A44" s="1">
        <v>1010403</v>
      </c>
      <c r="B44" s="1">
        <v>101004</v>
      </c>
      <c r="C44" s="1">
        <v>1</v>
      </c>
      <c r="D44" s="1">
        <v>0</v>
      </c>
      <c r="E44" s="5">
        <f t="shared" si="5"/>
        <v>0</v>
      </c>
      <c r="F44" s="1" t="s">
        <v>14</v>
      </c>
      <c r="G44" s="49" t="s">
        <v>392</v>
      </c>
      <c r="H44" s="48" t="s">
        <v>395</v>
      </c>
      <c r="J44" s="5">
        <v>0</v>
      </c>
      <c r="K44" s="5">
        <v>0</v>
      </c>
    </row>
    <row r="45" spans="1:11" x14ac:dyDescent="0.25">
      <c r="A45" s="1">
        <v>1010404</v>
      </c>
      <c r="B45" s="1">
        <v>101004</v>
      </c>
      <c r="C45" s="1">
        <v>2</v>
      </c>
      <c r="D45" s="1">
        <v>50</v>
      </c>
      <c r="E45" s="5" t="str">
        <f t="shared" si="5"/>
        <v>外功攻击+5;内功攻击+5</v>
      </c>
      <c r="F45" s="1" t="s">
        <v>14</v>
      </c>
      <c r="G45" s="49" t="s">
        <v>392</v>
      </c>
      <c r="H45" s="48" t="s">
        <v>396</v>
      </c>
      <c r="J45" s="5" t="s">
        <v>18</v>
      </c>
      <c r="K45" s="5" t="s">
        <v>287</v>
      </c>
    </row>
    <row r="46" spans="1:11" x14ac:dyDescent="0.25">
      <c r="A46" s="1">
        <v>1010405</v>
      </c>
      <c r="B46" s="1">
        <v>101004</v>
      </c>
      <c r="C46" s="1">
        <v>1</v>
      </c>
      <c r="D46" s="1">
        <v>0</v>
      </c>
      <c r="E46" s="5">
        <f t="shared" si="5"/>
        <v>0</v>
      </c>
      <c r="F46" s="1" t="s">
        <v>14</v>
      </c>
      <c r="G46" s="49" t="s">
        <v>392</v>
      </c>
      <c r="H46" s="48" t="s">
        <v>397</v>
      </c>
      <c r="J46" s="5">
        <v>0</v>
      </c>
      <c r="K46" s="5">
        <v>0</v>
      </c>
    </row>
    <row r="47" spans="1:11" x14ac:dyDescent="0.25">
      <c r="A47" s="1">
        <v>1010406</v>
      </c>
      <c r="B47" s="1">
        <v>101004</v>
      </c>
      <c r="C47" s="1">
        <v>3</v>
      </c>
      <c r="D47" s="1">
        <v>100</v>
      </c>
      <c r="E47" s="5" t="str">
        <f t="shared" si="5"/>
        <v>外功攻击+27;内功攻击+27</v>
      </c>
      <c r="F47" s="1" t="s">
        <v>14</v>
      </c>
      <c r="G47" s="49" t="s">
        <v>392</v>
      </c>
      <c r="H47" s="48" t="s">
        <v>398</v>
      </c>
      <c r="J47" s="5" t="s">
        <v>19</v>
      </c>
      <c r="K47" s="5" t="s">
        <v>288</v>
      </c>
    </row>
    <row r="48" spans="1:11" x14ac:dyDescent="0.25">
      <c r="A48" s="1">
        <v>1010407</v>
      </c>
      <c r="B48" s="1">
        <v>101004</v>
      </c>
      <c r="C48" s="1">
        <v>4</v>
      </c>
      <c r="D48" s="1">
        <v>200</v>
      </c>
      <c r="E48" s="5" t="str">
        <f t="shared" si="5"/>
        <v>外功攻击+30;内功攻击+30</v>
      </c>
      <c r="F48" s="1" t="s">
        <v>14</v>
      </c>
      <c r="G48" s="49" t="s">
        <v>392</v>
      </c>
      <c r="H48" s="48" t="s">
        <v>399</v>
      </c>
      <c r="J48" s="5" t="s">
        <v>20</v>
      </c>
      <c r="K48" s="5" t="s">
        <v>289</v>
      </c>
    </row>
    <row r="49" spans="1:11" x14ac:dyDescent="0.25">
      <c r="A49" s="1">
        <v>1010408</v>
      </c>
      <c r="B49" s="1">
        <v>101004</v>
      </c>
      <c r="C49" s="1">
        <v>5</v>
      </c>
      <c r="D49" s="1">
        <v>300</v>
      </c>
      <c r="E49" s="5" t="str">
        <f t="shared" si="5"/>
        <v>外功攻击+55;内功攻击+55</v>
      </c>
      <c r="F49" s="1" t="s">
        <v>14</v>
      </c>
      <c r="G49" s="49" t="s">
        <v>392</v>
      </c>
      <c r="H49" s="48" t="s">
        <v>400</v>
      </c>
      <c r="J49" s="5" t="s">
        <v>21</v>
      </c>
      <c r="K49" s="5" t="s">
        <v>290</v>
      </c>
    </row>
    <row r="50" spans="1:11" x14ac:dyDescent="0.25">
      <c r="A50" s="1">
        <v>1010409</v>
      </c>
      <c r="B50" s="1">
        <v>101004</v>
      </c>
      <c r="C50" s="1">
        <v>6</v>
      </c>
      <c r="D50" s="1">
        <v>400</v>
      </c>
      <c r="E50" s="5" t="str">
        <f t="shared" si="5"/>
        <v>外功攻击+80;内功攻击+80</v>
      </c>
      <c r="F50" s="1" t="s">
        <v>14</v>
      </c>
      <c r="G50" s="49" t="s">
        <v>392</v>
      </c>
      <c r="H50" s="48" t="s">
        <v>401</v>
      </c>
      <c r="J50" s="5" t="s">
        <v>22</v>
      </c>
      <c r="K50" s="5" t="s">
        <v>291</v>
      </c>
    </row>
    <row r="51" spans="1:11" x14ac:dyDescent="0.25">
      <c r="A51" s="1">
        <v>1010410</v>
      </c>
      <c r="B51" s="1">
        <v>101004</v>
      </c>
      <c r="C51" s="1">
        <v>7</v>
      </c>
      <c r="D51" s="1">
        <v>500</v>
      </c>
      <c r="E51" s="5" t="str">
        <f t="shared" si="5"/>
        <v>外功攻击+125;内功攻击+125</v>
      </c>
      <c r="F51" s="1" t="s">
        <v>14</v>
      </c>
      <c r="G51" s="49" t="s">
        <v>392</v>
      </c>
      <c r="H51" s="48" t="s">
        <v>402</v>
      </c>
      <c r="J51" s="5" t="s">
        <v>23</v>
      </c>
      <c r="K51" s="5" t="s">
        <v>292</v>
      </c>
    </row>
    <row r="52" spans="1:11" x14ac:dyDescent="0.25">
      <c r="A52" s="1">
        <v>1010411</v>
      </c>
      <c r="B52" s="1">
        <v>101004</v>
      </c>
      <c r="C52" s="1">
        <f>C51+1</f>
        <v>8</v>
      </c>
      <c r="D52" s="1">
        <f>D51*2</f>
        <v>1000</v>
      </c>
      <c r="E52" s="5" t="str">
        <f t="shared" si="5"/>
        <v>外功攻击+249;内功攻击+249</v>
      </c>
      <c r="F52" s="1" t="str">
        <f t="shared" ref="F52:F54" si="6">F51</f>
        <v>1+0;</v>
      </c>
      <c r="G52" s="1" t="s">
        <v>392</v>
      </c>
      <c r="H52" s="39" t="s">
        <v>403</v>
      </c>
      <c r="J52" s="5" t="s">
        <v>284</v>
      </c>
      <c r="K52" s="5" t="s">
        <v>293</v>
      </c>
    </row>
    <row r="53" spans="1:11" x14ac:dyDescent="0.25">
      <c r="A53" s="1">
        <v>1010412</v>
      </c>
      <c r="B53" s="1">
        <v>101004</v>
      </c>
      <c r="C53" s="1">
        <f>C52+1</f>
        <v>9</v>
      </c>
      <c r="D53" s="1">
        <f>D52+100</f>
        <v>1100</v>
      </c>
      <c r="E53" s="5" t="str">
        <f t="shared" si="5"/>
        <v>外功攻击+403;内功攻击+403</v>
      </c>
      <c r="F53" s="1" t="str">
        <f t="shared" si="6"/>
        <v>1+0;</v>
      </c>
      <c r="G53" s="1" t="s">
        <v>392</v>
      </c>
      <c r="H53" s="39" t="s">
        <v>404</v>
      </c>
      <c r="J53" s="5" t="s">
        <v>285</v>
      </c>
      <c r="K53" s="5" t="s">
        <v>294</v>
      </c>
    </row>
    <row r="54" spans="1:11" x14ac:dyDescent="0.25">
      <c r="A54" s="1">
        <v>1010413</v>
      </c>
      <c r="B54" s="1">
        <v>101004</v>
      </c>
      <c r="C54" s="1">
        <f>C53+1</f>
        <v>10</v>
      </c>
      <c r="D54" s="1">
        <f>D53+100</f>
        <v>1200</v>
      </c>
      <c r="E54" s="5" t="str">
        <f t="shared" ref="E54" si="7">IF(J54=0,J54,J54&amp;";"&amp;K54)</f>
        <v>外功攻击+503;内功攻击+503</v>
      </c>
      <c r="F54" s="1" t="str">
        <f t="shared" si="6"/>
        <v>1+0;</v>
      </c>
      <c r="G54" s="1" t="s">
        <v>392</v>
      </c>
      <c r="H54" s="39" t="s">
        <v>405</v>
      </c>
      <c r="J54" s="5" t="s">
        <v>308</v>
      </c>
      <c r="K54" s="5" t="s">
        <v>309</v>
      </c>
    </row>
    <row r="55" spans="1:11" x14ac:dyDescent="0.25">
      <c r="A55" s="1" t="s">
        <v>26</v>
      </c>
      <c r="B55" s="1">
        <v>102001</v>
      </c>
      <c r="C55" s="1">
        <v>1</v>
      </c>
      <c r="D55" s="1">
        <v>0</v>
      </c>
      <c r="E55" s="5">
        <f t="shared" si="0"/>
        <v>0</v>
      </c>
      <c r="F55" s="1" t="s">
        <v>14</v>
      </c>
      <c r="G55" s="1" t="s">
        <v>27</v>
      </c>
      <c r="J55" s="5">
        <v>0</v>
      </c>
      <c r="K55" s="5">
        <v>0</v>
      </c>
    </row>
    <row r="56" spans="1:11" x14ac:dyDescent="0.25">
      <c r="A56" s="1">
        <v>1020202</v>
      </c>
      <c r="B56" s="1">
        <v>102001</v>
      </c>
      <c r="C56" s="1">
        <v>1</v>
      </c>
      <c r="D56" s="1">
        <v>10</v>
      </c>
      <c r="E56" s="5" t="str">
        <f t="shared" si="0"/>
        <v>外功攻击+3;内功攻击+3</v>
      </c>
      <c r="F56" s="1" t="s">
        <v>14</v>
      </c>
      <c r="G56" s="1" t="s">
        <v>27</v>
      </c>
      <c r="J56" s="5" t="s">
        <v>16</v>
      </c>
      <c r="K56" s="5" t="s">
        <v>286</v>
      </c>
    </row>
    <row r="57" spans="1:11" x14ac:dyDescent="0.25">
      <c r="A57" s="1">
        <v>1020203</v>
      </c>
      <c r="B57" s="1">
        <v>102001</v>
      </c>
      <c r="C57" s="1">
        <v>1</v>
      </c>
      <c r="D57" s="1">
        <v>0</v>
      </c>
      <c r="E57" s="5">
        <f t="shared" si="0"/>
        <v>0</v>
      </c>
      <c r="F57" s="1" t="s">
        <v>14</v>
      </c>
      <c r="G57" s="1" t="s">
        <v>27</v>
      </c>
      <c r="J57" s="5">
        <v>0</v>
      </c>
      <c r="K57" s="5">
        <v>0</v>
      </c>
    </row>
    <row r="58" spans="1:11" x14ac:dyDescent="0.25">
      <c r="A58" s="1">
        <v>1020204</v>
      </c>
      <c r="B58" s="1">
        <v>102001</v>
      </c>
      <c r="C58" s="1">
        <v>2</v>
      </c>
      <c r="D58" s="1">
        <v>50</v>
      </c>
      <c r="E58" s="5" t="str">
        <f t="shared" si="0"/>
        <v>外功攻击+5;内功攻击+5</v>
      </c>
      <c r="F58" s="1" t="s">
        <v>14</v>
      </c>
      <c r="G58" s="1" t="s">
        <v>27</v>
      </c>
      <c r="J58" s="5" t="s">
        <v>18</v>
      </c>
      <c r="K58" s="5" t="s">
        <v>287</v>
      </c>
    </row>
    <row r="59" spans="1:11" x14ac:dyDescent="0.25">
      <c r="A59" s="1">
        <v>1020205</v>
      </c>
      <c r="B59" s="1">
        <v>102001</v>
      </c>
      <c r="C59" s="1">
        <v>1</v>
      </c>
      <c r="D59" s="1">
        <v>0</v>
      </c>
      <c r="E59" s="5">
        <f t="shared" si="0"/>
        <v>0</v>
      </c>
      <c r="F59" s="1" t="s">
        <v>14</v>
      </c>
      <c r="G59" s="1" t="s">
        <v>27</v>
      </c>
      <c r="J59" s="5">
        <v>0</v>
      </c>
      <c r="K59" s="5">
        <v>0</v>
      </c>
    </row>
    <row r="60" spans="1:11" x14ac:dyDescent="0.25">
      <c r="A60" s="1">
        <v>1020206</v>
      </c>
      <c r="B60" s="1">
        <v>102001</v>
      </c>
      <c r="C60" s="1">
        <v>3</v>
      </c>
      <c r="D60" s="1">
        <v>100</v>
      </c>
      <c r="E60" s="5" t="str">
        <f t="shared" si="0"/>
        <v>外功攻击+27;内功攻击+27</v>
      </c>
      <c r="F60" s="1" t="s">
        <v>14</v>
      </c>
      <c r="G60" s="1" t="s">
        <v>27</v>
      </c>
      <c r="J60" s="5" t="s">
        <v>19</v>
      </c>
      <c r="K60" s="5" t="s">
        <v>288</v>
      </c>
    </row>
    <row r="61" spans="1:11" x14ac:dyDescent="0.25">
      <c r="A61" s="1">
        <v>1020207</v>
      </c>
      <c r="B61" s="1">
        <v>102001</v>
      </c>
      <c r="C61" s="1">
        <v>4</v>
      </c>
      <c r="D61" s="1">
        <v>200</v>
      </c>
      <c r="E61" s="5" t="str">
        <f t="shared" si="0"/>
        <v>外功攻击+30;内功攻击+30</v>
      </c>
      <c r="F61" s="1" t="s">
        <v>14</v>
      </c>
      <c r="G61" s="1" t="s">
        <v>27</v>
      </c>
      <c r="J61" s="5" t="s">
        <v>20</v>
      </c>
      <c r="K61" s="5" t="s">
        <v>289</v>
      </c>
    </row>
    <row r="62" spans="1:11" x14ac:dyDescent="0.25">
      <c r="A62" s="1">
        <v>1020208</v>
      </c>
      <c r="B62" s="1">
        <v>102001</v>
      </c>
      <c r="C62" s="1">
        <v>5</v>
      </c>
      <c r="D62" s="1">
        <v>300</v>
      </c>
      <c r="E62" s="5" t="str">
        <f t="shared" si="0"/>
        <v>外功攻击+55;内功攻击+55</v>
      </c>
      <c r="F62" s="1" t="s">
        <v>14</v>
      </c>
      <c r="G62" s="1" t="s">
        <v>27</v>
      </c>
      <c r="J62" s="5" t="s">
        <v>21</v>
      </c>
      <c r="K62" s="5" t="s">
        <v>290</v>
      </c>
    </row>
    <row r="63" spans="1:11" x14ac:dyDescent="0.25">
      <c r="A63" s="1">
        <v>1020209</v>
      </c>
      <c r="B63" s="1">
        <v>102001</v>
      </c>
      <c r="C63" s="1">
        <v>6</v>
      </c>
      <c r="D63" s="1">
        <v>400</v>
      </c>
      <c r="E63" s="5" t="str">
        <f t="shared" si="0"/>
        <v>外功攻击+80;内功攻击+80</v>
      </c>
      <c r="F63" s="1" t="s">
        <v>14</v>
      </c>
      <c r="G63" s="1" t="s">
        <v>27</v>
      </c>
      <c r="J63" s="5" t="s">
        <v>22</v>
      </c>
      <c r="K63" s="5" t="s">
        <v>291</v>
      </c>
    </row>
    <row r="64" spans="1:11" x14ac:dyDescent="0.25">
      <c r="A64" s="1">
        <v>1020210</v>
      </c>
      <c r="B64" s="1">
        <v>102001</v>
      </c>
      <c r="C64" s="1">
        <v>7</v>
      </c>
      <c r="D64" s="1">
        <v>500</v>
      </c>
      <c r="E64" s="5" t="str">
        <f t="shared" si="0"/>
        <v>外功攻击+125;内功攻击+125</v>
      </c>
      <c r="F64" s="1" t="s">
        <v>14</v>
      </c>
      <c r="G64" s="1" t="s">
        <v>27</v>
      </c>
      <c r="J64" s="5" t="s">
        <v>23</v>
      </c>
      <c r="K64" s="5" t="s">
        <v>292</v>
      </c>
    </row>
    <row r="65" spans="1:11" x14ac:dyDescent="0.25">
      <c r="A65" s="1">
        <f>A64+1</f>
        <v>1020211</v>
      </c>
      <c r="B65" s="1">
        <f>B64</f>
        <v>102001</v>
      </c>
      <c r="C65" s="1">
        <f>C64+1</f>
        <v>8</v>
      </c>
      <c r="D65" s="1">
        <f>D64*2</f>
        <v>1000</v>
      </c>
      <c r="E65" s="5" t="str">
        <f t="shared" si="0"/>
        <v>外功攻击+249;内功攻击+249</v>
      </c>
      <c r="F65" s="1" t="str">
        <f t="shared" ref="F65:G67" si="8">F64</f>
        <v>1+0;</v>
      </c>
      <c r="G65" s="1" t="str">
        <f t="shared" si="8"/>
        <v>凌鸿剑势</v>
      </c>
      <c r="J65" s="5" t="s">
        <v>284</v>
      </c>
      <c r="K65" s="5" t="s">
        <v>293</v>
      </c>
    </row>
    <row r="66" spans="1:11" x14ac:dyDescent="0.25">
      <c r="A66" s="1">
        <f>A65+1</f>
        <v>1020212</v>
      </c>
      <c r="B66" s="1">
        <f>B65</f>
        <v>102001</v>
      </c>
      <c r="C66" s="1">
        <f>C65+1</f>
        <v>9</v>
      </c>
      <c r="D66" s="1">
        <f>D65+100</f>
        <v>1100</v>
      </c>
      <c r="E66" s="5" t="str">
        <f t="shared" si="0"/>
        <v>外功攻击+403;内功攻击+403</v>
      </c>
      <c r="F66" s="1" t="str">
        <f t="shared" si="8"/>
        <v>1+0;</v>
      </c>
      <c r="G66" s="1" t="str">
        <f t="shared" si="8"/>
        <v>凌鸿剑势</v>
      </c>
      <c r="J66" s="5" t="s">
        <v>285</v>
      </c>
      <c r="K66" s="5" t="s">
        <v>294</v>
      </c>
    </row>
    <row r="67" spans="1:11" x14ac:dyDescent="0.25">
      <c r="A67" s="1">
        <f>A66+1</f>
        <v>1020213</v>
      </c>
      <c r="B67" s="1">
        <f>B66</f>
        <v>102001</v>
      </c>
      <c r="C67" s="1">
        <f>C66+1</f>
        <v>10</v>
      </c>
      <c r="D67" s="1">
        <f>D66+100</f>
        <v>1200</v>
      </c>
      <c r="E67" s="5" t="str">
        <f t="shared" si="0"/>
        <v>外功攻击+503;内功攻击+503</v>
      </c>
      <c r="F67" s="1" t="str">
        <f t="shared" si="8"/>
        <v>1+0;</v>
      </c>
      <c r="G67" s="1" t="str">
        <f t="shared" si="8"/>
        <v>凌鸿剑势</v>
      </c>
      <c r="J67" s="5" t="s">
        <v>308</v>
      </c>
      <c r="K67" s="5" t="s">
        <v>309</v>
      </c>
    </row>
    <row r="68" spans="1:11" x14ac:dyDescent="0.25">
      <c r="A68" s="1">
        <v>1020301</v>
      </c>
      <c r="B68" s="1">
        <v>102002</v>
      </c>
      <c r="C68" s="1">
        <v>1</v>
      </c>
      <c r="D68" s="1">
        <v>0</v>
      </c>
      <c r="E68" s="5">
        <f t="shared" si="0"/>
        <v>0</v>
      </c>
      <c r="F68" s="1" t="s">
        <v>14</v>
      </c>
      <c r="G68" s="1" t="s">
        <v>28</v>
      </c>
      <c r="J68" s="5">
        <v>0</v>
      </c>
      <c r="K68" s="5">
        <v>0</v>
      </c>
    </row>
    <row r="69" spans="1:11" x14ac:dyDescent="0.25">
      <c r="A69" s="1">
        <v>1020302</v>
      </c>
      <c r="B69" s="1">
        <v>102002</v>
      </c>
      <c r="C69" s="1">
        <v>1</v>
      </c>
      <c r="D69" s="1">
        <v>10</v>
      </c>
      <c r="E69" s="5" t="str">
        <f t="shared" si="0"/>
        <v>外功攻击+3;内功攻击+3</v>
      </c>
      <c r="F69" s="1" t="s">
        <v>14</v>
      </c>
      <c r="G69" s="1" t="s">
        <v>28</v>
      </c>
      <c r="J69" s="5" t="s">
        <v>16</v>
      </c>
      <c r="K69" s="5" t="s">
        <v>286</v>
      </c>
    </row>
    <row r="70" spans="1:11" x14ac:dyDescent="0.25">
      <c r="A70" s="1">
        <v>1020303</v>
      </c>
      <c r="B70" s="1">
        <v>102002</v>
      </c>
      <c r="C70" s="1">
        <v>1</v>
      </c>
      <c r="D70" s="1">
        <v>0</v>
      </c>
      <c r="E70" s="5">
        <f t="shared" si="0"/>
        <v>0</v>
      </c>
      <c r="F70" s="1" t="s">
        <v>14</v>
      </c>
      <c r="G70" s="1" t="s">
        <v>28</v>
      </c>
      <c r="J70" s="5">
        <v>0</v>
      </c>
      <c r="K70" s="5">
        <v>0</v>
      </c>
    </row>
    <row r="71" spans="1:11" x14ac:dyDescent="0.25">
      <c r="A71" s="1">
        <v>1020304</v>
      </c>
      <c r="B71" s="1">
        <v>102002</v>
      </c>
      <c r="C71" s="1">
        <v>2</v>
      </c>
      <c r="D71" s="1">
        <v>50</v>
      </c>
      <c r="E71" s="5" t="str">
        <f t="shared" si="0"/>
        <v>外功攻击+5;内功攻击+5</v>
      </c>
      <c r="F71" s="1" t="s">
        <v>14</v>
      </c>
      <c r="G71" s="1" t="s">
        <v>28</v>
      </c>
      <c r="J71" s="5" t="s">
        <v>18</v>
      </c>
      <c r="K71" s="5" t="s">
        <v>287</v>
      </c>
    </row>
    <row r="72" spans="1:11" x14ac:dyDescent="0.25">
      <c r="A72" s="1">
        <v>1020305</v>
      </c>
      <c r="B72" s="1">
        <v>102002</v>
      </c>
      <c r="C72" s="1">
        <v>1</v>
      </c>
      <c r="D72" s="1">
        <v>0</v>
      </c>
      <c r="E72" s="5">
        <f t="shared" si="0"/>
        <v>0</v>
      </c>
      <c r="F72" s="1" t="s">
        <v>14</v>
      </c>
      <c r="G72" s="1" t="s">
        <v>28</v>
      </c>
      <c r="J72" s="5">
        <v>0</v>
      </c>
      <c r="K72" s="5">
        <v>0</v>
      </c>
    </row>
    <row r="73" spans="1:11" x14ac:dyDescent="0.25">
      <c r="A73" s="1">
        <v>1020306</v>
      </c>
      <c r="B73" s="1">
        <v>102002</v>
      </c>
      <c r="C73" s="1">
        <v>3</v>
      </c>
      <c r="D73" s="1">
        <v>100</v>
      </c>
      <c r="E73" s="5" t="str">
        <f t="shared" si="0"/>
        <v>外功攻击+27;内功攻击+27</v>
      </c>
      <c r="F73" s="1" t="s">
        <v>14</v>
      </c>
      <c r="G73" s="1" t="s">
        <v>28</v>
      </c>
      <c r="J73" s="5" t="s">
        <v>19</v>
      </c>
      <c r="K73" s="5" t="s">
        <v>288</v>
      </c>
    </row>
    <row r="74" spans="1:11" x14ac:dyDescent="0.25">
      <c r="A74" s="1">
        <v>1020307</v>
      </c>
      <c r="B74" s="1">
        <v>102002</v>
      </c>
      <c r="C74" s="1">
        <v>4</v>
      </c>
      <c r="D74" s="1">
        <v>200</v>
      </c>
      <c r="E74" s="5" t="str">
        <f t="shared" si="0"/>
        <v>外功攻击+30;内功攻击+30</v>
      </c>
      <c r="F74" s="1" t="s">
        <v>14</v>
      </c>
      <c r="G74" s="1" t="s">
        <v>28</v>
      </c>
      <c r="J74" s="5" t="s">
        <v>20</v>
      </c>
      <c r="K74" s="5" t="s">
        <v>289</v>
      </c>
    </row>
    <row r="75" spans="1:11" x14ac:dyDescent="0.25">
      <c r="A75" s="1">
        <v>1020308</v>
      </c>
      <c r="B75" s="1">
        <v>102002</v>
      </c>
      <c r="C75" s="1">
        <v>5</v>
      </c>
      <c r="D75" s="1">
        <v>300</v>
      </c>
      <c r="E75" s="5" t="str">
        <f t="shared" si="0"/>
        <v>外功攻击+55;内功攻击+55</v>
      </c>
      <c r="F75" s="1" t="s">
        <v>14</v>
      </c>
      <c r="G75" s="1" t="s">
        <v>28</v>
      </c>
      <c r="J75" s="5" t="s">
        <v>21</v>
      </c>
      <c r="K75" s="5" t="s">
        <v>290</v>
      </c>
    </row>
    <row r="76" spans="1:11" x14ac:dyDescent="0.25">
      <c r="A76" s="1">
        <v>1020309</v>
      </c>
      <c r="B76" s="1">
        <v>102002</v>
      </c>
      <c r="C76" s="1">
        <v>6</v>
      </c>
      <c r="D76" s="1">
        <v>400</v>
      </c>
      <c r="E76" s="5" t="str">
        <f t="shared" si="0"/>
        <v>外功攻击+80;内功攻击+80</v>
      </c>
      <c r="F76" s="1" t="s">
        <v>14</v>
      </c>
      <c r="G76" s="1" t="s">
        <v>28</v>
      </c>
      <c r="J76" s="5" t="s">
        <v>22</v>
      </c>
      <c r="K76" s="5" t="s">
        <v>291</v>
      </c>
    </row>
    <row r="77" spans="1:11" x14ac:dyDescent="0.25">
      <c r="A77" s="1">
        <v>1020310</v>
      </c>
      <c r="B77" s="1">
        <v>102002</v>
      </c>
      <c r="C77" s="1">
        <v>7</v>
      </c>
      <c r="D77" s="1">
        <v>500</v>
      </c>
      <c r="E77" s="5" t="str">
        <f t="shared" si="0"/>
        <v>外功攻击+125;内功攻击+125</v>
      </c>
      <c r="F77" s="1" t="s">
        <v>14</v>
      </c>
      <c r="G77" s="1" t="s">
        <v>28</v>
      </c>
      <c r="J77" s="5" t="s">
        <v>23</v>
      </c>
      <c r="K77" s="5" t="s">
        <v>292</v>
      </c>
    </row>
    <row r="78" spans="1:11" x14ac:dyDescent="0.25">
      <c r="A78" s="1">
        <f>A77+1</f>
        <v>1020311</v>
      </c>
      <c r="B78" s="1">
        <f>B77</f>
        <v>102002</v>
      </c>
      <c r="C78" s="1">
        <f>C77+1</f>
        <v>8</v>
      </c>
      <c r="D78" s="1">
        <f>D77*2</f>
        <v>1000</v>
      </c>
      <c r="E78" s="5" t="str">
        <f t="shared" si="0"/>
        <v>外功攻击+249;内功攻击+249</v>
      </c>
      <c r="F78" s="1" t="str">
        <f t="shared" ref="F78:G80" si="9">F77</f>
        <v>1+0;</v>
      </c>
      <c r="G78" s="1" t="str">
        <f t="shared" si="9"/>
        <v>清风剑法</v>
      </c>
      <c r="J78" s="5" t="s">
        <v>284</v>
      </c>
      <c r="K78" s="5" t="s">
        <v>293</v>
      </c>
    </row>
    <row r="79" spans="1:11" x14ac:dyDescent="0.25">
      <c r="A79" s="1">
        <f>A78+1</f>
        <v>1020312</v>
      </c>
      <c r="B79" s="1">
        <f>B78</f>
        <v>102002</v>
      </c>
      <c r="C79" s="1">
        <f>C78+1</f>
        <v>9</v>
      </c>
      <c r="D79" s="1">
        <f>D78+100</f>
        <v>1100</v>
      </c>
      <c r="E79" s="5" t="str">
        <f t="shared" si="0"/>
        <v>外功攻击+403;内功攻击+403</v>
      </c>
      <c r="F79" s="1" t="str">
        <f t="shared" si="9"/>
        <v>1+0;</v>
      </c>
      <c r="G79" s="1" t="str">
        <f t="shared" si="9"/>
        <v>清风剑法</v>
      </c>
      <c r="J79" s="5" t="s">
        <v>285</v>
      </c>
      <c r="K79" s="5" t="s">
        <v>294</v>
      </c>
    </row>
    <row r="80" spans="1:11" x14ac:dyDescent="0.25">
      <c r="A80" s="1">
        <f>A79+1</f>
        <v>1020313</v>
      </c>
      <c r="B80" s="1">
        <f>B79</f>
        <v>102002</v>
      </c>
      <c r="C80" s="1">
        <f>C79+1</f>
        <v>10</v>
      </c>
      <c r="D80" s="1">
        <f>D79+100</f>
        <v>1200</v>
      </c>
      <c r="E80" s="5" t="str">
        <f t="shared" ref="E80" si="10">IF(J80=0,J80,J80&amp;";"&amp;K80)</f>
        <v>外功攻击+503;内功攻击+503</v>
      </c>
      <c r="F80" s="1" t="str">
        <f t="shared" si="9"/>
        <v>1+0;</v>
      </c>
      <c r="G80" s="1" t="str">
        <f t="shared" si="9"/>
        <v>清风剑法</v>
      </c>
      <c r="J80" s="5" t="s">
        <v>308</v>
      </c>
      <c r="K80" s="5" t="s">
        <v>309</v>
      </c>
    </row>
    <row r="81" spans="1:11" x14ac:dyDescent="0.25">
      <c r="A81" s="1">
        <v>1020401</v>
      </c>
      <c r="B81" s="1">
        <v>102003</v>
      </c>
      <c r="C81" s="1">
        <v>1</v>
      </c>
      <c r="D81" s="1">
        <v>0</v>
      </c>
      <c r="E81" s="5">
        <f t="shared" si="0"/>
        <v>0</v>
      </c>
      <c r="F81" s="1" t="s">
        <v>14</v>
      </c>
      <c r="G81" s="1" t="s">
        <v>29</v>
      </c>
      <c r="J81" s="5">
        <v>0</v>
      </c>
      <c r="K81" s="5">
        <v>0</v>
      </c>
    </row>
    <row r="82" spans="1:11" x14ac:dyDescent="0.25">
      <c r="A82" s="1">
        <v>1020402</v>
      </c>
      <c r="B82" s="1">
        <v>102003</v>
      </c>
      <c r="C82" s="1">
        <v>1</v>
      </c>
      <c r="D82" s="1">
        <v>10</v>
      </c>
      <c r="E82" s="5" t="str">
        <f t="shared" si="0"/>
        <v>外功攻击+3;内功攻击+3</v>
      </c>
      <c r="F82" s="1" t="s">
        <v>14</v>
      </c>
      <c r="G82" s="1" t="s">
        <v>29</v>
      </c>
      <c r="J82" s="5" t="s">
        <v>16</v>
      </c>
      <c r="K82" s="5" t="s">
        <v>286</v>
      </c>
    </row>
    <row r="83" spans="1:11" x14ac:dyDescent="0.25">
      <c r="A83" s="1">
        <v>1020403</v>
      </c>
      <c r="B83" s="1">
        <v>102003</v>
      </c>
      <c r="C83" s="1">
        <v>1</v>
      </c>
      <c r="D83" s="1">
        <v>0</v>
      </c>
      <c r="E83" s="5">
        <f t="shared" si="0"/>
        <v>0</v>
      </c>
      <c r="F83" s="1" t="s">
        <v>14</v>
      </c>
      <c r="G83" s="1" t="s">
        <v>29</v>
      </c>
      <c r="J83" s="5">
        <v>0</v>
      </c>
      <c r="K83" s="5">
        <v>0</v>
      </c>
    </row>
    <row r="84" spans="1:11" x14ac:dyDescent="0.25">
      <c r="A84" s="1">
        <v>1020404</v>
      </c>
      <c r="B84" s="1">
        <v>102003</v>
      </c>
      <c r="C84" s="1">
        <v>2</v>
      </c>
      <c r="D84" s="1">
        <v>50</v>
      </c>
      <c r="E84" s="5" t="str">
        <f t="shared" si="0"/>
        <v>外功攻击+5;内功攻击+5</v>
      </c>
      <c r="F84" s="1" t="s">
        <v>14</v>
      </c>
      <c r="G84" s="1" t="s">
        <v>29</v>
      </c>
      <c r="J84" s="5" t="s">
        <v>18</v>
      </c>
      <c r="K84" s="5" t="s">
        <v>287</v>
      </c>
    </row>
    <row r="85" spans="1:11" x14ac:dyDescent="0.25">
      <c r="A85" s="1">
        <v>1020405</v>
      </c>
      <c r="B85" s="1">
        <v>102003</v>
      </c>
      <c r="C85" s="1">
        <v>1</v>
      </c>
      <c r="D85" s="1">
        <v>0</v>
      </c>
      <c r="E85" s="5">
        <f t="shared" si="0"/>
        <v>0</v>
      </c>
      <c r="F85" s="1" t="s">
        <v>14</v>
      </c>
      <c r="G85" s="1" t="s">
        <v>29</v>
      </c>
      <c r="J85" s="5">
        <v>0</v>
      </c>
      <c r="K85" s="5">
        <v>0</v>
      </c>
    </row>
    <row r="86" spans="1:11" x14ac:dyDescent="0.25">
      <c r="A86" s="1">
        <v>1020406</v>
      </c>
      <c r="B86" s="1">
        <v>102003</v>
      </c>
      <c r="C86" s="1">
        <v>3</v>
      </c>
      <c r="D86" s="1">
        <v>100</v>
      </c>
      <c r="E86" s="5" t="str">
        <f t="shared" ref="E86:E180" si="11">IF(J86=0,J86,J86&amp;";"&amp;K86)</f>
        <v>外功攻击+27;内功攻击+27</v>
      </c>
      <c r="F86" s="1" t="s">
        <v>14</v>
      </c>
      <c r="G86" s="1" t="s">
        <v>29</v>
      </c>
      <c r="J86" s="5" t="s">
        <v>19</v>
      </c>
      <c r="K86" s="5" t="s">
        <v>288</v>
      </c>
    </row>
    <row r="87" spans="1:11" x14ac:dyDescent="0.25">
      <c r="A87" s="1">
        <v>1020407</v>
      </c>
      <c r="B87" s="1">
        <v>102003</v>
      </c>
      <c r="C87" s="1">
        <v>4</v>
      </c>
      <c r="D87" s="1">
        <v>200</v>
      </c>
      <c r="E87" s="5" t="str">
        <f t="shared" si="11"/>
        <v>外功攻击+30;内功攻击+30</v>
      </c>
      <c r="F87" s="1" t="s">
        <v>14</v>
      </c>
      <c r="G87" s="1" t="s">
        <v>29</v>
      </c>
      <c r="J87" s="5" t="s">
        <v>20</v>
      </c>
      <c r="K87" s="5" t="s">
        <v>289</v>
      </c>
    </row>
    <row r="88" spans="1:11" x14ac:dyDescent="0.25">
      <c r="A88" s="1">
        <v>1020408</v>
      </c>
      <c r="B88" s="1">
        <v>102003</v>
      </c>
      <c r="C88" s="1">
        <v>5</v>
      </c>
      <c r="D88" s="1">
        <v>300</v>
      </c>
      <c r="E88" s="5" t="str">
        <f t="shared" si="11"/>
        <v>外功攻击+55;内功攻击+55</v>
      </c>
      <c r="F88" s="1" t="s">
        <v>14</v>
      </c>
      <c r="G88" s="1" t="s">
        <v>29</v>
      </c>
      <c r="J88" s="5" t="s">
        <v>21</v>
      </c>
      <c r="K88" s="5" t="s">
        <v>290</v>
      </c>
    </row>
    <row r="89" spans="1:11" x14ac:dyDescent="0.25">
      <c r="A89" s="1">
        <v>1020409</v>
      </c>
      <c r="B89" s="1">
        <v>102003</v>
      </c>
      <c r="C89" s="1">
        <v>6</v>
      </c>
      <c r="D89" s="1">
        <v>400</v>
      </c>
      <c r="E89" s="5" t="str">
        <f t="shared" si="11"/>
        <v>外功攻击+80;内功攻击+80</v>
      </c>
      <c r="F89" s="1" t="s">
        <v>14</v>
      </c>
      <c r="G89" s="1" t="s">
        <v>29</v>
      </c>
      <c r="J89" s="5" t="s">
        <v>22</v>
      </c>
      <c r="K89" s="5" t="s">
        <v>291</v>
      </c>
    </row>
    <row r="90" spans="1:11" x14ac:dyDescent="0.25">
      <c r="A90" s="1">
        <v>1020410</v>
      </c>
      <c r="B90" s="1">
        <v>102003</v>
      </c>
      <c r="C90" s="1">
        <v>7</v>
      </c>
      <c r="D90" s="1">
        <v>500</v>
      </c>
      <c r="E90" s="5" t="str">
        <f t="shared" si="11"/>
        <v>外功攻击+125;内功攻击+125</v>
      </c>
      <c r="F90" s="1" t="s">
        <v>14</v>
      </c>
      <c r="G90" s="1" t="s">
        <v>29</v>
      </c>
      <c r="J90" s="5" t="s">
        <v>23</v>
      </c>
      <c r="K90" s="5" t="s">
        <v>292</v>
      </c>
    </row>
    <row r="91" spans="1:11" x14ac:dyDescent="0.25">
      <c r="A91" s="1">
        <f>A90+1</f>
        <v>1020411</v>
      </c>
      <c r="B91" s="1">
        <f>B90</f>
        <v>102003</v>
      </c>
      <c r="C91" s="1">
        <f>C90+1</f>
        <v>8</v>
      </c>
      <c r="D91" s="1">
        <f>D90*2</f>
        <v>1000</v>
      </c>
      <c r="E91" s="5" t="str">
        <f t="shared" si="11"/>
        <v>外功攻击+249;内功攻击+249</v>
      </c>
      <c r="F91" s="1" t="str">
        <f t="shared" ref="F91:G93" si="12">F90</f>
        <v>1+0;</v>
      </c>
      <c r="G91" s="1" t="str">
        <f t="shared" si="12"/>
        <v>沧海观澜刀法</v>
      </c>
      <c r="J91" s="5" t="s">
        <v>284</v>
      </c>
      <c r="K91" s="5" t="s">
        <v>293</v>
      </c>
    </row>
    <row r="92" spans="1:11" x14ac:dyDescent="0.25">
      <c r="A92" s="1">
        <f>A91+1</f>
        <v>1020412</v>
      </c>
      <c r="B92" s="1">
        <f>B91</f>
        <v>102003</v>
      </c>
      <c r="C92" s="1">
        <f>C91+1</f>
        <v>9</v>
      </c>
      <c r="D92" s="1">
        <f>D91+100</f>
        <v>1100</v>
      </c>
      <c r="E92" s="5" t="str">
        <f t="shared" si="11"/>
        <v>外功攻击+403;内功攻击+403</v>
      </c>
      <c r="F92" s="1" t="str">
        <f t="shared" si="12"/>
        <v>1+0;</v>
      </c>
      <c r="G92" s="1" t="str">
        <f t="shared" si="12"/>
        <v>沧海观澜刀法</v>
      </c>
      <c r="J92" s="5" t="s">
        <v>285</v>
      </c>
      <c r="K92" s="5" t="s">
        <v>294</v>
      </c>
    </row>
    <row r="93" spans="1:11" x14ac:dyDescent="0.25">
      <c r="A93" s="1">
        <f>A92+1</f>
        <v>1020413</v>
      </c>
      <c r="B93" s="1">
        <f>B92</f>
        <v>102003</v>
      </c>
      <c r="C93" s="1">
        <f>C92+1</f>
        <v>10</v>
      </c>
      <c r="D93" s="1">
        <f>D92+100</f>
        <v>1200</v>
      </c>
      <c r="E93" s="5" t="str">
        <f t="shared" si="11"/>
        <v>外功攻击+503;内功攻击+503</v>
      </c>
      <c r="F93" s="1" t="str">
        <f t="shared" si="12"/>
        <v>1+0;</v>
      </c>
      <c r="G93" s="1" t="str">
        <f t="shared" si="12"/>
        <v>沧海观澜刀法</v>
      </c>
      <c r="J93" s="5" t="s">
        <v>308</v>
      </c>
      <c r="K93" s="5" t="s">
        <v>309</v>
      </c>
    </row>
    <row r="94" spans="1:11" x14ac:dyDescent="0.25">
      <c r="A94" s="1">
        <v>1020501</v>
      </c>
      <c r="B94" s="1">
        <v>102005</v>
      </c>
      <c r="C94" s="1">
        <v>1</v>
      </c>
      <c r="D94" s="1">
        <v>0</v>
      </c>
      <c r="E94" s="5">
        <f t="shared" si="11"/>
        <v>0</v>
      </c>
      <c r="F94" s="1" t="s">
        <v>14</v>
      </c>
      <c r="G94" s="1" t="s">
        <v>30</v>
      </c>
      <c r="J94" s="5">
        <v>0</v>
      </c>
      <c r="K94" s="5">
        <v>0</v>
      </c>
    </row>
    <row r="95" spans="1:11" x14ac:dyDescent="0.25">
      <c r="A95" s="1">
        <v>1020502</v>
      </c>
      <c r="B95" s="1">
        <v>102005</v>
      </c>
      <c r="C95" s="1">
        <v>1</v>
      </c>
      <c r="D95" s="1">
        <v>10</v>
      </c>
      <c r="E95" s="5" t="str">
        <f t="shared" si="11"/>
        <v>外功攻击+3;内功攻击+3</v>
      </c>
      <c r="F95" s="1" t="s">
        <v>14</v>
      </c>
      <c r="G95" s="1" t="s">
        <v>30</v>
      </c>
      <c r="J95" s="5" t="s">
        <v>16</v>
      </c>
      <c r="K95" s="5" t="s">
        <v>286</v>
      </c>
    </row>
    <row r="96" spans="1:11" x14ac:dyDescent="0.25">
      <c r="A96" s="1">
        <v>1020503</v>
      </c>
      <c r="B96" s="1">
        <v>102005</v>
      </c>
      <c r="C96" s="1">
        <v>1</v>
      </c>
      <c r="D96" s="1">
        <v>0</v>
      </c>
      <c r="E96" s="5">
        <f t="shared" si="11"/>
        <v>0</v>
      </c>
      <c r="F96" s="1" t="s">
        <v>14</v>
      </c>
      <c r="G96" s="1" t="s">
        <v>30</v>
      </c>
      <c r="J96" s="5">
        <v>0</v>
      </c>
      <c r="K96" s="5">
        <v>0</v>
      </c>
    </row>
    <row r="97" spans="1:11" x14ac:dyDescent="0.25">
      <c r="A97" s="1">
        <v>1020504</v>
      </c>
      <c r="B97" s="1">
        <v>102005</v>
      </c>
      <c r="C97" s="1">
        <v>2</v>
      </c>
      <c r="D97" s="1">
        <v>50</v>
      </c>
      <c r="E97" s="5" t="str">
        <f t="shared" si="11"/>
        <v>外功攻击+5;内功攻击+5</v>
      </c>
      <c r="F97" s="1" t="s">
        <v>14</v>
      </c>
      <c r="G97" s="1" t="s">
        <v>30</v>
      </c>
      <c r="J97" s="5" t="s">
        <v>18</v>
      </c>
      <c r="K97" s="5" t="s">
        <v>287</v>
      </c>
    </row>
    <row r="98" spans="1:11" x14ac:dyDescent="0.25">
      <c r="A98" s="1">
        <v>1020505</v>
      </c>
      <c r="B98" s="1">
        <v>102005</v>
      </c>
      <c r="C98" s="1">
        <v>1</v>
      </c>
      <c r="D98" s="1">
        <v>0</v>
      </c>
      <c r="E98" s="5">
        <f t="shared" si="11"/>
        <v>0</v>
      </c>
      <c r="F98" s="1" t="s">
        <v>14</v>
      </c>
      <c r="G98" s="1" t="s">
        <v>30</v>
      </c>
      <c r="J98" s="5">
        <v>0</v>
      </c>
      <c r="K98" s="5">
        <v>0</v>
      </c>
    </row>
    <row r="99" spans="1:11" x14ac:dyDescent="0.25">
      <c r="A99" s="1">
        <v>1020506</v>
      </c>
      <c r="B99" s="1">
        <v>102005</v>
      </c>
      <c r="C99" s="1">
        <v>3</v>
      </c>
      <c r="D99" s="1">
        <v>100</v>
      </c>
      <c r="E99" s="5" t="str">
        <f t="shared" si="11"/>
        <v>外功攻击+27;内功攻击+27</v>
      </c>
      <c r="F99" s="1" t="s">
        <v>14</v>
      </c>
      <c r="G99" s="1" t="s">
        <v>30</v>
      </c>
      <c r="J99" s="5" t="s">
        <v>19</v>
      </c>
      <c r="K99" s="5" t="s">
        <v>288</v>
      </c>
    </row>
    <row r="100" spans="1:11" x14ac:dyDescent="0.25">
      <c r="A100" s="1">
        <v>1020507</v>
      </c>
      <c r="B100" s="1">
        <v>102005</v>
      </c>
      <c r="C100" s="1">
        <v>4</v>
      </c>
      <c r="D100" s="1">
        <v>200</v>
      </c>
      <c r="E100" s="5" t="str">
        <f t="shared" si="11"/>
        <v>外功攻击+30;内功攻击+30</v>
      </c>
      <c r="F100" s="1" t="s">
        <v>14</v>
      </c>
      <c r="G100" s="1" t="s">
        <v>30</v>
      </c>
      <c r="J100" s="5" t="s">
        <v>20</v>
      </c>
      <c r="K100" s="5" t="s">
        <v>289</v>
      </c>
    </row>
    <row r="101" spans="1:11" x14ac:dyDescent="0.25">
      <c r="A101" s="1">
        <v>1020508</v>
      </c>
      <c r="B101" s="1">
        <v>102005</v>
      </c>
      <c r="C101" s="1">
        <v>5</v>
      </c>
      <c r="D101" s="1">
        <v>300</v>
      </c>
      <c r="E101" s="5" t="str">
        <f t="shared" si="11"/>
        <v>外功攻击+55;内功攻击+55</v>
      </c>
      <c r="F101" s="1" t="s">
        <v>14</v>
      </c>
      <c r="G101" s="1" t="s">
        <v>30</v>
      </c>
      <c r="J101" s="5" t="s">
        <v>21</v>
      </c>
      <c r="K101" s="5" t="s">
        <v>290</v>
      </c>
    </row>
    <row r="102" spans="1:11" x14ac:dyDescent="0.25">
      <c r="A102" s="1">
        <v>1020509</v>
      </c>
      <c r="B102" s="1">
        <v>102005</v>
      </c>
      <c r="C102" s="1">
        <v>6</v>
      </c>
      <c r="D102" s="1">
        <v>400</v>
      </c>
      <c r="E102" s="5" t="str">
        <f t="shared" si="11"/>
        <v>外功攻击+80;内功攻击+80</v>
      </c>
      <c r="F102" s="1" t="s">
        <v>14</v>
      </c>
      <c r="G102" s="1" t="s">
        <v>30</v>
      </c>
      <c r="J102" s="5" t="s">
        <v>22</v>
      </c>
      <c r="K102" s="5" t="s">
        <v>291</v>
      </c>
    </row>
    <row r="103" spans="1:11" x14ac:dyDescent="0.25">
      <c r="A103" s="1">
        <v>1020510</v>
      </c>
      <c r="B103" s="1">
        <v>102005</v>
      </c>
      <c r="C103" s="1">
        <v>7</v>
      </c>
      <c r="D103" s="1">
        <v>500</v>
      </c>
      <c r="E103" s="5" t="str">
        <f t="shared" si="11"/>
        <v>外功攻击+125;内功攻击+125</v>
      </c>
      <c r="F103" s="1" t="s">
        <v>14</v>
      </c>
      <c r="G103" s="1" t="s">
        <v>30</v>
      </c>
      <c r="J103" s="5" t="s">
        <v>23</v>
      </c>
      <c r="K103" s="5" t="s">
        <v>292</v>
      </c>
    </row>
    <row r="104" spans="1:11" x14ac:dyDescent="0.25">
      <c r="A104" s="1">
        <f>A103+1</f>
        <v>1020511</v>
      </c>
      <c r="B104" s="1">
        <f>B103</f>
        <v>102005</v>
      </c>
      <c r="C104" s="1">
        <f>C103+1</f>
        <v>8</v>
      </c>
      <c r="D104" s="1">
        <f>D103*2</f>
        <v>1000</v>
      </c>
      <c r="E104" s="5" t="str">
        <f t="shared" si="11"/>
        <v>外功攻击+249;内功攻击+249</v>
      </c>
      <c r="F104" s="1" t="str">
        <f t="shared" ref="F104:G106" si="13">F103</f>
        <v>1+0;</v>
      </c>
      <c r="G104" s="1" t="str">
        <f t="shared" si="13"/>
        <v>两仪剑法</v>
      </c>
      <c r="J104" s="5" t="s">
        <v>284</v>
      </c>
      <c r="K104" s="5" t="s">
        <v>293</v>
      </c>
    </row>
    <row r="105" spans="1:11" x14ac:dyDescent="0.25">
      <c r="A105" s="1">
        <f>A104+1</f>
        <v>1020512</v>
      </c>
      <c r="B105" s="1">
        <f>B104</f>
        <v>102005</v>
      </c>
      <c r="C105" s="1">
        <f>C104+1</f>
        <v>9</v>
      </c>
      <c r="D105" s="1">
        <f>D104+100</f>
        <v>1100</v>
      </c>
      <c r="E105" s="5" t="str">
        <f t="shared" si="11"/>
        <v>外功攻击+403;内功攻击+403</v>
      </c>
      <c r="F105" s="1" t="str">
        <f t="shared" si="13"/>
        <v>1+0;</v>
      </c>
      <c r="G105" s="1" t="str">
        <f t="shared" si="13"/>
        <v>两仪剑法</v>
      </c>
      <c r="J105" s="5" t="s">
        <v>285</v>
      </c>
      <c r="K105" s="5" t="s">
        <v>294</v>
      </c>
    </row>
    <row r="106" spans="1:11" x14ac:dyDescent="0.25">
      <c r="A106" s="1">
        <f>A105+1</f>
        <v>1020513</v>
      </c>
      <c r="B106" s="1">
        <f>B105</f>
        <v>102005</v>
      </c>
      <c r="C106" s="1">
        <f>C105+1</f>
        <v>10</v>
      </c>
      <c r="D106" s="1">
        <f>D105+100</f>
        <v>1200</v>
      </c>
      <c r="E106" s="5" t="str">
        <f t="shared" ref="E106" si="14">IF(J106=0,J106,J106&amp;";"&amp;K106)</f>
        <v>外功攻击+503;内功攻击+503</v>
      </c>
      <c r="F106" s="1" t="str">
        <f t="shared" si="13"/>
        <v>1+0;</v>
      </c>
      <c r="G106" s="1" t="str">
        <f t="shared" si="13"/>
        <v>两仪剑法</v>
      </c>
      <c r="J106" s="5" t="s">
        <v>308</v>
      </c>
      <c r="K106" s="5" t="s">
        <v>309</v>
      </c>
    </row>
    <row r="107" spans="1:11" x14ac:dyDescent="0.25">
      <c r="A107" s="1">
        <v>1020601</v>
      </c>
      <c r="B107" s="6">
        <v>102006</v>
      </c>
      <c r="C107" s="1">
        <v>1</v>
      </c>
      <c r="D107" s="1">
        <v>0</v>
      </c>
      <c r="E107" s="5">
        <f t="shared" si="11"/>
        <v>0</v>
      </c>
      <c r="F107" s="1" t="s">
        <v>14</v>
      </c>
      <c r="G107" s="1" t="s">
        <v>31</v>
      </c>
      <c r="J107" s="5">
        <v>0</v>
      </c>
      <c r="K107" s="5">
        <v>0</v>
      </c>
    </row>
    <row r="108" spans="1:11" x14ac:dyDescent="0.25">
      <c r="A108" s="1">
        <v>1020602</v>
      </c>
      <c r="B108" s="6">
        <v>102006</v>
      </c>
      <c r="C108" s="1">
        <v>1</v>
      </c>
      <c r="D108" s="1">
        <v>10</v>
      </c>
      <c r="E108" s="5" t="str">
        <f t="shared" si="11"/>
        <v>外功攻击+3;内功攻击+3</v>
      </c>
      <c r="F108" s="1" t="s">
        <v>14</v>
      </c>
      <c r="G108" s="1" t="s">
        <v>31</v>
      </c>
      <c r="J108" s="5" t="s">
        <v>16</v>
      </c>
      <c r="K108" s="5" t="s">
        <v>286</v>
      </c>
    </row>
    <row r="109" spans="1:11" x14ac:dyDescent="0.25">
      <c r="A109" s="1">
        <v>1020603</v>
      </c>
      <c r="B109" s="6">
        <v>102006</v>
      </c>
      <c r="C109" s="1">
        <v>1</v>
      </c>
      <c r="D109" s="1">
        <v>0</v>
      </c>
      <c r="E109" s="5">
        <f t="shared" si="11"/>
        <v>0</v>
      </c>
      <c r="F109" s="1" t="s">
        <v>14</v>
      </c>
      <c r="G109" s="1" t="s">
        <v>31</v>
      </c>
      <c r="J109" s="5">
        <v>0</v>
      </c>
      <c r="K109" s="5">
        <v>0</v>
      </c>
    </row>
    <row r="110" spans="1:11" x14ac:dyDescent="0.25">
      <c r="A110" s="1">
        <v>1020604</v>
      </c>
      <c r="B110" s="6">
        <v>102006</v>
      </c>
      <c r="C110" s="1">
        <v>2</v>
      </c>
      <c r="D110" s="1">
        <v>50</v>
      </c>
      <c r="E110" s="5" t="str">
        <f t="shared" si="11"/>
        <v>外功攻击+5;内功攻击+5</v>
      </c>
      <c r="F110" s="1" t="s">
        <v>14</v>
      </c>
      <c r="G110" s="1" t="s">
        <v>31</v>
      </c>
      <c r="J110" s="5" t="s">
        <v>18</v>
      </c>
      <c r="K110" s="5" t="s">
        <v>287</v>
      </c>
    </row>
    <row r="111" spans="1:11" x14ac:dyDescent="0.25">
      <c r="A111" s="1">
        <v>1020605</v>
      </c>
      <c r="B111" s="6">
        <v>102006</v>
      </c>
      <c r="C111" s="1">
        <v>1</v>
      </c>
      <c r="D111" s="1">
        <v>0</v>
      </c>
      <c r="E111" s="5">
        <f t="shared" si="11"/>
        <v>0</v>
      </c>
      <c r="F111" s="1" t="s">
        <v>14</v>
      </c>
      <c r="G111" s="1" t="s">
        <v>31</v>
      </c>
      <c r="J111" s="5">
        <v>0</v>
      </c>
      <c r="K111" s="5">
        <v>0</v>
      </c>
    </row>
    <row r="112" spans="1:11" x14ac:dyDescent="0.25">
      <c r="A112" s="1">
        <v>1020606</v>
      </c>
      <c r="B112" s="6">
        <v>102006</v>
      </c>
      <c r="C112" s="1">
        <v>3</v>
      </c>
      <c r="D112" s="1">
        <v>100</v>
      </c>
      <c r="E112" s="5" t="str">
        <f t="shared" si="11"/>
        <v>外功攻击+27;内功攻击+27</v>
      </c>
      <c r="F112" s="1" t="s">
        <v>14</v>
      </c>
      <c r="G112" s="1" t="s">
        <v>31</v>
      </c>
      <c r="J112" s="5" t="s">
        <v>19</v>
      </c>
      <c r="K112" s="5" t="s">
        <v>288</v>
      </c>
    </row>
    <row r="113" spans="1:11" x14ac:dyDescent="0.25">
      <c r="A113" s="1">
        <v>1020607</v>
      </c>
      <c r="B113" s="6">
        <v>102006</v>
      </c>
      <c r="C113" s="1">
        <v>4</v>
      </c>
      <c r="D113" s="1">
        <v>200</v>
      </c>
      <c r="E113" s="5" t="str">
        <f t="shared" si="11"/>
        <v>外功攻击+30;内功攻击+30</v>
      </c>
      <c r="F113" s="1" t="s">
        <v>14</v>
      </c>
      <c r="G113" s="1" t="s">
        <v>31</v>
      </c>
      <c r="J113" s="5" t="s">
        <v>20</v>
      </c>
      <c r="K113" s="5" t="s">
        <v>289</v>
      </c>
    </row>
    <row r="114" spans="1:11" x14ac:dyDescent="0.25">
      <c r="A114" s="1">
        <v>1020608</v>
      </c>
      <c r="B114" s="6">
        <v>102006</v>
      </c>
      <c r="C114" s="1">
        <v>5</v>
      </c>
      <c r="D114" s="1">
        <v>300</v>
      </c>
      <c r="E114" s="5" t="str">
        <f t="shared" si="11"/>
        <v>外功攻击+55;内功攻击+55</v>
      </c>
      <c r="F114" s="1" t="s">
        <v>14</v>
      </c>
      <c r="G114" s="1" t="s">
        <v>31</v>
      </c>
      <c r="J114" s="5" t="s">
        <v>21</v>
      </c>
      <c r="K114" s="5" t="s">
        <v>290</v>
      </c>
    </row>
    <row r="115" spans="1:11" x14ac:dyDescent="0.25">
      <c r="A115" s="1">
        <v>1020609</v>
      </c>
      <c r="B115" s="6">
        <v>102006</v>
      </c>
      <c r="C115" s="1">
        <v>6</v>
      </c>
      <c r="D115" s="1">
        <v>400</v>
      </c>
      <c r="E115" s="5" t="str">
        <f t="shared" si="11"/>
        <v>外功攻击+80;内功攻击+80</v>
      </c>
      <c r="F115" s="1" t="s">
        <v>14</v>
      </c>
      <c r="G115" s="1" t="s">
        <v>31</v>
      </c>
      <c r="J115" s="5" t="s">
        <v>22</v>
      </c>
      <c r="K115" s="5" t="s">
        <v>291</v>
      </c>
    </row>
    <row r="116" spans="1:11" x14ac:dyDescent="0.25">
      <c r="A116" s="1">
        <v>1020610</v>
      </c>
      <c r="B116" s="6">
        <v>102006</v>
      </c>
      <c r="C116" s="1">
        <v>7</v>
      </c>
      <c r="D116" s="1">
        <v>500</v>
      </c>
      <c r="E116" s="5" t="str">
        <f t="shared" si="11"/>
        <v>外功攻击+125;内功攻击+125</v>
      </c>
      <c r="F116" s="1" t="s">
        <v>14</v>
      </c>
      <c r="G116" s="1" t="s">
        <v>31</v>
      </c>
      <c r="J116" s="5" t="s">
        <v>23</v>
      </c>
      <c r="K116" s="5" t="s">
        <v>292</v>
      </c>
    </row>
    <row r="117" spans="1:11" x14ac:dyDescent="0.25">
      <c r="A117" s="1">
        <f>A116+1</f>
        <v>1020611</v>
      </c>
      <c r="B117" s="1">
        <f>B116</f>
        <v>102006</v>
      </c>
      <c r="C117" s="1">
        <f>C116+1</f>
        <v>8</v>
      </c>
      <c r="D117" s="1">
        <f>D116*2</f>
        <v>1000</v>
      </c>
      <c r="E117" s="5" t="str">
        <f t="shared" si="11"/>
        <v>外功攻击+249;内功攻击+249</v>
      </c>
      <c r="F117" s="1" t="str">
        <f t="shared" ref="F117:G119" si="15">F116</f>
        <v>1+0;</v>
      </c>
      <c r="G117" s="1" t="str">
        <f t="shared" si="15"/>
        <v>浮萍剑术</v>
      </c>
      <c r="J117" s="5" t="s">
        <v>284</v>
      </c>
      <c r="K117" s="5" t="s">
        <v>293</v>
      </c>
    </row>
    <row r="118" spans="1:11" x14ac:dyDescent="0.25">
      <c r="A118" s="1">
        <f>A117+1</f>
        <v>1020612</v>
      </c>
      <c r="B118" s="1">
        <f>B117</f>
        <v>102006</v>
      </c>
      <c r="C118" s="1">
        <f>C117+1</f>
        <v>9</v>
      </c>
      <c r="D118" s="1">
        <f>D117+100</f>
        <v>1100</v>
      </c>
      <c r="E118" s="5" t="str">
        <f t="shared" si="11"/>
        <v>外功攻击+403;内功攻击+403</v>
      </c>
      <c r="F118" s="1" t="str">
        <f t="shared" si="15"/>
        <v>1+0;</v>
      </c>
      <c r="G118" s="1" t="str">
        <f t="shared" si="15"/>
        <v>浮萍剑术</v>
      </c>
      <c r="J118" s="5" t="s">
        <v>285</v>
      </c>
      <c r="K118" s="5" t="s">
        <v>294</v>
      </c>
    </row>
    <row r="119" spans="1:11" x14ac:dyDescent="0.25">
      <c r="A119" s="1">
        <f>A118+1</f>
        <v>1020613</v>
      </c>
      <c r="B119" s="1">
        <f>B118</f>
        <v>102006</v>
      </c>
      <c r="C119" s="1">
        <f>C118+1</f>
        <v>10</v>
      </c>
      <c r="D119" s="1">
        <f>D118+100</f>
        <v>1200</v>
      </c>
      <c r="E119" s="5" t="str">
        <f t="shared" si="11"/>
        <v>外功攻击+503;内功攻击+503</v>
      </c>
      <c r="F119" s="1" t="str">
        <f t="shared" si="15"/>
        <v>1+0;</v>
      </c>
      <c r="G119" s="1" t="str">
        <f t="shared" si="15"/>
        <v>浮萍剑术</v>
      </c>
      <c r="J119" s="5" t="s">
        <v>308</v>
      </c>
      <c r="K119" s="5" t="s">
        <v>309</v>
      </c>
    </row>
    <row r="120" spans="1:11" x14ac:dyDescent="0.25">
      <c r="A120" s="1">
        <v>1020701</v>
      </c>
      <c r="B120" s="6">
        <v>102007</v>
      </c>
      <c r="C120" s="1">
        <v>1</v>
      </c>
      <c r="D120" s="1">
        <v>0</v>
      </c>
      <c r="E120" s="5">
        <f t="shared" ref="E120:E132" si="16">IF(J120=0,J120,J120&amp;";"&amp;K120)</f>
        <v>0</v>
      </c>
      <c r="F120" s="1" t="s">
        <v>14</v>
      </c>
      <c r="G120" s="46" t="s">
        <v>378</v>
      </c>
      <c r="H120" s="47" t="s">
        <v>379</v>
      </c>
      <c r="J120" s="5">
        <v>0</v>
      </c>
      <c r="K120" s="5">
        <v>0</v>
      </c>
    </row>
    <row r="121" spans="1:11" x14ac:dyDescent="0.25">
      <c r="A121" s="1">
        <v>1020702</v>
      </c>
      <c r="B121" s="6">
        <v>102007</v>
      </c>
      <c r="C121" s="1">
        <v>1</v>
      </c>
      <c r="D121" s="1">
        <v>10</v>
      </c>
      <c r="E121" s="5" t="str">
        <f t="shared" si="16"/>
        <v>外功攻击+3;内功攻击+3</v>
      </c>
      <c r="F121" s="1" t="s">
        <v>14</v>
      </c>
      <c r="G121" s="18" t="s">
        <v>378</v>
      </c>
      <c r="H121" s="19" t="s">
        <v>380</v>
      </c>
      <c r="J121" s="5" t="s">
        <v>16</v>
      </c>
      <c r="K121" s="5" t="s">
        <v>286</v>
      </c>
    </row>
    <row r="122" spans="1:11" x14ac:dyDescent="0.25">
      <c r="A122" s="1">
        <v>1020703</v>
      </c>
      <c r="B122" s="6">
        <v>102007</v>
      </c>
      <c r="C122" s="1">
        <v>1</v>
      </c>
      <c r="D122" s="1">
        <v>0</v>
      </c>
      <c r="E122" s="5">
        <f t="shared" si="16"/>
        <v>0</v>
      </c>
      <c r="F122" s="1" t="s">
        <v>14</v>
      </c>
      <c r="G122" s="18" t="s">
        <v>378</v>
      </c>
      <c r="H122" s="19" t="s">
        <v>381</v>
      </c>
      <c r="J122" s="5">
        <v>0</v>
      </c>
      <c r="K122" s="5">
        <v>0</v>
      </c>
    </row>
    <row r="123" spans="1:11" x14ac:dyDescent="0.25">
      <c r="A123" s="1">
        <v>1020704</v>
      </c>
      <c r="B123" s="6">
        <v>102007</v>
      </c>
      <c r="C123" s="1">
        <v>2</v>
      </c>
      <c r="D123" s="1">
        <v>50</v>
      </c>
      <c r="E123" s="5" t="str">
        <f t="shared" si="16"/>
        <v>外功攻击+5;内功攻击+5</v>
      </c>
      <c r="F123" s="1" t="s">
        <v>14</v>
      </c>
      <c r="G123" s="18" t="s">
        <v>378</v>
      </c>
      <c r="H123" s="19" t="s">
        <v>382</v>
      </c>
      <c r="J123" s="5" t="s">
        <v>18</v>
      </c>
      <c r="K123" s="5" t="s">
        <v>287</v>
      </c>
    </row>
    <row r="124" spans="1:11" x14ac:dyDescent="0.25">
      <c r="A124" s="1">
        <v>1020705</v>
      </c>
      <c r="B124" s="6">
        <v>102007</v>
      </c>
      <c r="C124" s="1">
        <v>1</v>
      </c>
      <c r="D124" s="1">
        <v>0</v>
      </c>
      <c r="E124" s="5">
        <f t="shared" si="16"/>
        <v>0</v>
      </c>
      <c r="F124" s="1" t="s">
        <v>14</v>
      </c>
      <c r="G124" s="18" t="s">
        <v>378</v>
      </c>
      <c r="H124" s="19" t="s">
        <v>383</v>
      </c>
      <c r="J124" s="5">
        <v>0</v>
      </c>
      <c r="K124" s="5">
        <v>0</v>
      </c>
    </row>
    <row r="125" spans="1:11" x14ac:dyDescent="0.25">
      <c r="A125" s="1">
        <v>1020706</v>
      </c>
      <c r="B125" s="6">
        <v>102007</v>
      </c>
      <c r="C125" s="1">
        <v>3</v>
      </c>
      <c r="D125" s="1">
        <v>100</v>
      </c>
      <c r="E125" s="5" t="str">
        <f t="shared" si="16"/>
        <v>外功攻击+27;内功攻击+27</v>
      </c>
      <c r="F125" s="1" t="s">
        <v>14</v>
      </c>
      <c r="G125" s="18" t="s">
        <v>378</v>
      </c>
      <c r="H125" s="19" t="s">
        <v>384</v>
      </c>
      <c r="J125" s="5" t="s">
        <v>19</v>
      </c>
      <c r="K125" s="5" t="s">
        <v>288</v>
      </c>
    </row>
    <row r="126" spans="1:11" x14ac:dyDescent="0.25">
      <c r="A126" s="1">
        <v>1020707</v>
      </c>
      <c r="B126" s="6">
        <v>102007</v>
      </c>
      <c r="C126" s="1">
        <v>4</v>
      </c>
      <c r="D126" s="1">
        <v>200</v>
      </c>
      <c r="E126" s="5" t="str">
        <f t="shared" si="16"/>
        <v>外功攻击+30;内功攻击+30</v>
      </c>
      <c r="F126" s="1" t="s">
        <v>14</v>
      </c>
      <c r="G126" s="18" t="s">
        <v>378</v>
      </c>
      <c r="H126" s="19" t="s">
        <v>385</v>
      </c>
      <c r="J126" s="5" t="s">
        <v>20</v>
      </c>
      <c r="K126" s="5" t="s">
        <v>289</v>
      </c>
    </row>
    <row r="127" spans="1:11" x14ac:dyDescent="0.25">
      <c r="A127" s="1">
        <v>1020708</v>
      </c>
      <c r="B127" s="6">
        <v>102007</v>
      </c>
      <c r="C127" s="1">
        <v>5</v>
      </c>
      <c r="D127" s="1">
        <v>300</v>
      </c>
      <c r="E127" s="5" t="str">
        <f t="shared" si="16"/>
        <v>外功攻击+55;内功攻击+55</v>
      </c>
      <c r="F127" s="1" t="s">
        <v>14</v>
      </c>
      <c r="G127" s="18" t="s">
        <v>378</v>
      </c>
      <c r="H127" s="19" t="s">
        <v>386</v>
      </c>
      <c r="J127" s="5" t="s">
        <v>21</v>
      </c>
      <c r="K127" s="5" t="s">
        <v>290</v>
      </c>
    </row>
    <row r="128" spans="1:11" x14ac:dyDescent="0.25">
      <c r="A128" s="1">
        <v>1020709</v>
      </c>
      <c r="B128" s="6">
        <v>102007</v>
      </c>
      <c r="C128" s="1">
        <v>6</v>
      </c>
      <c r="D128" s="1">
        <v>400</v>
      </c>
      <c r="E128" s="5" t="str">
        <f t="shared" si="16"/>
        <v>外功攻击+80;内功攻击+80</v>
      </c>
      <c r="F128" s="1" t="s">
        <v>14</v>
      </c>
      <c r="G128" s="18" t="s">
        <v>378</v>
      </c>
      <c r="H128" s="19" t="s">
        <v>387</v>
      </c>
      <c r="J128" s="5" t="s">
        <v>22</v>
      </c>
      <c r="K128" s="5" t="s">
        <v>291</v>
      </c>
    </row>
    <row r="129" spans="1:11" x14ac:dyDescent="0.25">
      <c r="A129" s="1">
        <v>1020710</v>
      </c>
      <c r="B129" s="6">
        <v>102007</v>
      </c>
      <c r="C129" s="1">
        <v>7</v>
      </c>
      <c r="D129" s="1">
        <v>500</v>
      </c>
      <c r="E129" s="5" t="str">
        <f t="shared" si="16"/>
        <v>外功攻击+125;内功攻击+125</v>
      </c>
      <c r="F129" s="1" t="s">
        <v>14</v>
      </c>
      <c r="G129" s="18" t="s">
        <v>378</v>
      </c>
      <c r="H129" s="19" t="s">
        <v>388</v>
      </c>
      <c r="J129" s="5" t="s">
        <v>23</v>
      </c>
      <c r="K129" s="5" t="s">
        <v>292</v>
      </c>
    </row>
    <row r="130" spans="1:11" x14ac:dyDescent="0.25">
      <c r="A130" s="1">
        <v>1020711</v>
      </c>
      <c r="B130" s="6">
        <v>102007</v>
      </c>
      <c r="C130" s="1">
        <f>C129+1</f>
        <v>8</v>
      </c>
      <c r="D130" s="1">
        <f>D129*2</f>
        <v>1000</v>
      </c>
      <c r="E130" s="5" t="str">
        <f t="shared" si="16"/>
        <v>外功攻击+249;内功攻击+249</v>
      </c>
      <c r="F130" s="1" t="str">
        <f t="shared" ref="F130:F132" si="17">F129</f>
        <v>1+0;</v>
      </c>
      <c r="G130" s="1" t="s">
        <v>378</v>
      </c>
      <c r="H130" s="39" t="s">
        <v>389</v>
      </c>
      <c r="J130" s="5" t="s">
        <v>284</v>
      </c>
      <c r="K130" s="5" t="s">
        <v>293</v>
      </c>
    </row>
    <row r="131" spans="1:11" x14ac:dyDescent="0.25">
      <c r="A131" s="1">
        <v>1020712</v>
      </c>
      <c r="B131" s="6">
        <v>102007</v>
      </c>
      <c r="C131" s="1">
        <f>C130+1</f>
        <v>9</v>
      </c>
      <c r="D131" s="1">
        <f>D130+100</f>
        <v>1100</v>
      </c>
      <c r="E131" s="5" t="str">
        <f t="shared" si="16"/>
        <v>外功攻击+403;内功攻击+403</v>
      </c>
      <c r="F131" s="1" t="str">
        <f t="shared" si="17"/>
        <v>1+0;</v>
      </c>
      <c r="G131" s="1" t="s">
        <v>378</v>
      </c>
      <c r="H131" s="39" t="s">
        <v>390</v>
      </c>
      <c r="J131" s="5" t="s">
        <v>285</v>
      </c>
      <c r="K131" s="5" t="s">
        <v>294</v>
      </c>
    </row>
    <row r="132" spans="1:11" x14ac:dyDescent="0.25">
      <c r="A132" s="1">
        <v>1020713</v>
      </c>
      <c r="B132" s="6">
        <v>102007</v>
      </c>
      <c r="C132" s="1">
        <f>C131+1</f>
        <v>10</v>
      </c>
      <c r="D132" s="1">
        <f>D131+100</f>
        <v>1200</v>
      </c>
      <c r="E132" s="5" t="str">
        <f t="shared" si="16"/>
        <v>外功攻击+503;内功攻击+503</v>
      </c>
      <c r="F132" s="1" t="str">
        <f t="shared" si="17"/>
        <v>1+0;</v>
      </c>
      <c r="G132" s="1" t="s">
        <v>378</v>
      </c>
      <c r="H132" s="39" t="s">
        <v>391</v>
      </c>
      <c r="J132" s="5" t="s">
        <v>308</v>
      </c>
      <c r="K132" s="5" t="s">
        <v>309</v>
      </c>
    </row>
    <row r="133" spans="1:11" x14ac:dyDescent="0.25">
      <c r="A133" s="1">
        <v>1030101</v>
      </c>
      <c r="B133" s="1">
        <v>103001</v>
      </c>
      <c r="C133" s="1">
        <v>1</v>
      </c>
      <c r="D133" s="1">
        <v>0</v>
      </c>
      <c r="E133" s="5">
        <f t="shared" si="11"/>
        <v>0</v>
      </c>
      <c r="F133" s="1" t="s">
        <v>14</v>
      </c>
      <c r="G133" s="1" t="s">
        <v>32</v>
      </c>
      <c r="J133" s="5">
        <v>0</v>
      </c>
      <c r="K133" s="5">
        <v>0</v>
      </c>
    </row>
    <row r="134" spans="1:11" x14ac:dyDescent="0.25">
      <c r="A134" s="1">
        <v>1030102</v>
      </c>
      <c r="B134" s="1">
        <v>103001</v>
      </c>
      <c r="C134" s="1">
        <v>1</v>
      </c>
      <c r="D134" s="1">
        <v>10</v>
      </c>
      <c r="E134" s="5" t="str">
        <f t="shared" si="11"/>
        <v>外功攻击+3;内功攻击+3</v>
      </c>
      <c r="F134" s="1" t="s">
        <v>14</v>
      </c>
      <c r="G134" s="1" t="s">
        <v>32</v>
      </c>
      <c r="J134" s="5" t="s">
        <v>16</v>
      </c>
      <c r="K134" s="5" t="s">
        <v>286</v>
      </c>
    </row>
    <row r="135" spans="1:11" x14ac:dyDescent="0.25">
      <c r="A135" s="1">
        <v>1030103</v>
      </c>
      <c r="B135" s="1">
        <v>103001</v>
      </c>
      <c r="C135" s="1">
        <v>1</v>
      </c>
      <c r="D135" s="1">
        <v>0</v>
      </c>
      <c r="E135" s="5">
        <f t="shared" si="11"/>
        <v>0</v>
      </c>
      <c r="F135" s="1" t="s">
        <v>14</v>
      </c>
      <c r="G135" s="1" t="s">
        <v>32</v>
      </c>
      <c r="J135" s="5">
        <v>0</v>
      </c>
      <c r="K135" s="5">
        <v>0</v>
      </c>
    </row>
    <row r="136" spans="1:11" x14ac:dyDescent="0.25">
      <c r="A136" s="1">
        <v>1030104</v>
      </c>
      <c r="B136" s="1">
        <v>103001</v>
      </c>
      <c r="C136" s="1">
        <v>2</v>
      </c>
      <c r="D136" s="1">
        <v>50</v>
      </c>
      <c r="E136" s="5" t="str">
        <f t="shared" si="11"/>
        <v>外功攻击+5;内功攻击+5</v>
      </c>
      <c r="F136" s="1" t="s">
        <v>14</v>
      </c>
      <c r="G136" s="1" t="s">
        <v>32</v>
      </c>
      <c r="J136" s="5" t="s">
        <v>18</v>
      </c>
      <c r="K136" s="5" t="s">
        <v>287</v>
      </c>
    </row>
    <row r="137" spans="1:11" x14ac:dyDescent="0.25">
      <c r="A137" s="1">
        <v>1030105</v>
      </c>
      <c r="B137" s="1">
        <v>103001</v>
      </c>
      <c r="C137" s="1">
        <v>1</v>
      </c>
      <c r="D137" s="1">
        <v>0</v>
      </c>
      <c r="E137" s="5">
        <f t="shared" si="11"/>
        <v>0</v>
      </c>
      <c r="F137" s="1" t="s">
        <v>14</v>
      </c>
      <c r="G137" s="1" t="s">
        <v>32</v>
      </c>
      <c r="J137" s="5">
        <v>0</v>
      </c>
      <c r="K137" s="5">
        <v>0</v>
      </c>
    </row>
    <row r="138" spans="1:11" x14ac:dyDescent="0.25">
      <c r="A138" s="1">
        <v>1030106</v>
      </c>
      <c r="B138" s="1">
        <v>103001</v>
      </c>
      <c r="C138" s="1">
        <v>3</v>
      </c>
      <c r="D138" s="1">
        <v>100</v>
      </c>
      <c r="E138" s="5" t="str">
        <f t="shared" si="11"/>
        <v>外功攻击+27;内功攻击+27</v>
      </c>
      <c r="F138" s="1" t="s">
        <v>14</v>
      </c>
      <c r="G138" s="1" t="s">
        <v>32</v>
      </c>
      <c r="J138" s="5" t="s">
        <v>19</v>
      </c>
      <c r="K138" s="5" t="s">
        <v>288</v>
      </c>
    </row>
    <row r="139" spans="1:11" x14ac:dyDescent="0.25">
      <c r="A139" s="1">
        <v>1030107</v>
      </c>
      <c r="B139" s="1">
        <v>103001</v>
      </c>
      <c r="C139" s="1">
        <v>4</v>
      </c>
      <c r="D139" s="1">
        <v>200</v>
      </c>
      <c r="E139" s="5" t="str">
        <f t="shared" si="11"/>
        <v>外功攻击+30;内功攻击+30</v>
      </c>
      <c r="F139" s="1" t="s">
        <v>14</v>
      </c>
      <c r="G139" s="1" t="s">
        <v>32</v>
      </c>
      <c r="J139" s="5" t="s">
        <v>20</v>
      </c>
      <c r="K139" s="5" t="s">
        <v>289</v>
      </c>
    </row>
    <row r="140" spans="1:11" x14ac:dyDescent="0.25">
      <c r="A140" s="1">
        <v>1030108</v>
      </c>
      <c r="B140" s="1">
        <v>103001</v>
      </c>
      <c r="C140" s="1">
        <v>5</v>
      </c>
      <c r="D140" s="1">
        <v>300</v>
      </c>
      <c r="E140" s="5" t="str">
        <f t="shared" si="11"/>
        <v>外功攻击+55;内功攻击+55</v>
      </c>
      <c r="F140" s="1" t="s">
        <v>14</v>
      </c>
      <c r="G140" s="1" t="s">
        <v>32</v>
      </c>
      <c r="J140" s="5" t="s">
        <v>21</v>
      </c>
      <c r="K140" s="5" t="s">
        <v>290</v>
      </c>
    </row>
    <row r="141" spans="1:11" x14ac:dyDescent="0.25">
      <c r="A141" s="1">
        <v>1030109</v>
      </c>
      <c r="B141" s="1">
        <v>103001</v>
      </c>
      <c r="C141" s="1">
        <v>6</v>
      </c>
      <c r="D141" s="1">
        <v>400</v>
      </c>
      <c r="E141" s="5" t="str">
        <f t="shared" si="11"/>
        <v>外功攻击+80;内功攻击+80</v>
      </c>
      <c r="F141" s="1" t="s">
        <v>14</v>
      </c>
      <c r="G141" s="1" t="s">
        <v>32</v>
      </c>
      <c r="J141" s="5" t="s">
        <v>22</v>
      </c>
      <c r="K141" s="5" t="s">
        <v>291</v>
      </c>
    </row>
    <row r="142" spans="1:11" x14ac:dyDescent="0.25">
      <c r="A142" s="1">
        <v>1030110</v>
      </c>
      <c r="B142" s="1">
        <v>103001</v>
      </c>
      <c r="C142" s="1">
        <v>7</v>
      </c>
      <c r="D142" s="1">
        <v>500</v>
      </c>
      <c r="E142" s="5" t="str">
        <f t="shared" si="11"/>
        <v>外功攻击+125;内功攻击+125</v>
      </c>
      <c r="F142" s="1" t="s">
        <v>14</v>
      </c>
      <c r="G142" s="1" t="s">
        <v>32</v>
      </c>
      <c r="J142" s="5" t="s">
        <v>23</v>
      </c>
      <c r="K142" s="5" t="s">
        <v>292</v>
      </c>
    </row>
    <row r="143" spans="1:11" x14ac:dyDescent="0.25">
      <c r="A143" s="1">
        <f>A142+1</f>
        <v>1030111</v>
      </c>
      <c r="B143" s="1">
        <f>B142</f>
        <v>103001</v>
      </c>
      <c r="C143" s="1">
        <f>C142+1</f>
        <v>8</v>
      </c>
      <c r="D143" s="1">
        <f>D142*2</f>
        <v>1000</v>
      </c>
      <c r="E143" s="5" t="str">
        <f t="shared" si="11"/>
        <v>外功攻击+249;内功攻击+249</v>
      </c>
      <c r="F143" s="1" t="str">
        <f t="shared" ref="F143:G145" si="18">F142</f>
        <v>1+0;</v>
      </c>
      <c r="G143" s="1" t="str">
        <f t="shared" si="18"/>
        <v>斩铁无锋卷</v>
      </c>
      <c r="J143" s="5" t="s">
        <v>284</v>
      </c>
      <c r="K143" s="5" t="s">
        <v>293</v>
      </c>
    </row>
    <row r="144" spans="1:11" x14ac:dyDescent="0.25">
      <c r="A144" s="1">
        <f>A143+1</f>
        <v>1030112</v>
      </c>
      <c r="B144" s="1">
        <f>B143</f>
        <v>103001</v>
      </c>
      <c r="C144" s="1">
        <f>C143+1</f>
        <v>9</v>
      </c>
      <c r="D144" s="1">
        <f>D143+100</f>
        <v>1100</v>
      </c>
      <c r="E144" s="5" t="str">
        <f t="shared" si="11"/>
        <v>外功攻击+403;内功攻击+403</v>
      </c>
      <c r="F144" s="1" t="str">
        <f t="shared" si="18"/>
        <v>1+0;</v>
      </c>
      <c r="G144" s="1" t="str">
        <f t="shared" si="18"/>
        <v>斩铁无锋卷</v>
      </c>
      <c r="J144" s="5" t="s">
        <v>285</v>
      </c>
      <c r="K144" s="5" t="s">
        <v>294</v>
      </c>
    </row>
    <row r="145" spans="1:11" x14ac:dyDescent="0.25">
      <c r="A145" s="1">
        <f>A144+1</f>
        <v>1030113</v>
      </c>
      <c r="B145" s="1">
        <f>B144</f>
        <v>103001</v>
      </c>
      <c r="C145" s="1">
        <f>C144+1</f>
        <v>10</v>
      </c>
      <c r="D145" s="1">
        <f>D144+100</f>
        <v>1200</v>
      </c>
      <c r="E145" s="5" t="str">
        <f t="shared" ref="E145" si="19">IF(J145=0,J145,J145&amp;";"&amp;K145)</f>
        <v>外功攻击+503;内功攻击+503</v>
      </c>
      <c r="F145" s="1" t="str">
        <f t="shared" si="18"/>
        <v>1+0;</v>
      </c>
      <c r="G145" s="1" t="str">
        <f t="shared" si="18"/>
        <v>斩铁无锋卷</v>
      </c>
      <c r="J145" s="5" t="s">
        <v>308</v>
      </c>
      <c r="K145" s="5" t="s">
        <v>309</v>
      </c>
    </row>
    <row r="146" spans="1:11" x14ac:dyDescent="0.25">
      <c r="A146" s="1">
        <v>1030201</v>
      </c>
      <c r="B146" s="7">
        <v>103002</v>
      </c>
      <c r="C146" s="1">
        <v>1</v>
      </c>
      <c r="D146" s="1">
        <v>0</v>
      </c>
      <c r="E146" s="5">
        <f t="shared" ref="E146:E158" si="20">IF(J146=0,J146,J146&amp;";"&amp;K146)</f>
        <v>0</v>
      </c>
      <c r="F146" s="1" t="s">
        <v>14</v>
      </c>
      <c r="G146" s="38" t="s">
        <v>305</v>
      </c>
      <c r="J146" s="5">
        <v>0</v>
      </c>
      <c r="K146" s="5">
        <v>0</v>
      </c>
    </row>
    <row r="147" spans="1:11" x14ac:dyDescent="0.25">
      <c r="A147" s="1">
        <v>1030202</v>
      </c>
      <c r="B147" s="7">
        <v>103002</v>
      </c>
      <c r="C147" s="1">
        <v>1</v>
      </c>
      <c r="D147" s="1">
        <v>10</v>
      </c>
      <c r="E147" s="5" t="str">
        <f t="shared" si="20"/>
        <v>外功攻击+3;内功攻击+3</v>
      </c>
      <c r="F147" s="1" t="s">
        <v>14</v>
      </c>
      <c r="G147" s="38" t="s">
        <v>305</v>
      </c>
      <c r="J147" s="5" t="s">
        <v>16</v>
      </c>
      <c r="K147" s="5" t="s">
        <v>286</v>
      </c>
    </row>
    <row r="148" spans="1:11" x14ac:dyDescent="0.25">
      <c r="A148" s="1">
        <v>1030203</v>
      </c>
      <c r="B148" s="7">
        <v>103002</v>
      </c>
      <c r="C148" s="1">
        <v>1</v>
      </c>
      <c r="D148" s="1">
        <v>0</v>
      </c>
      <c r="E148" s="5">
        <f t="shared" si="20"/>
        <v>0</v>
      </c>
      <c r="F148" s="1" t="s">
        <v>14</v>
      </c>
      <c r="G148" s="38" t="s">
        <v>305</v>
      </c>
      <c r="J148" s="5">
        <v>0</v>
      </c>
      <c r="K148" s="5">
        <v>0</v>
      </c>
    </row>
    <row r="149" spans="1:11" x14ac:dyDescent="0.25">
      <c r="A149" s="1">
        <v>1030204</v>
      </c>
      <c r="B149" s="7">
        <v>103002</v>
      </c>
      <c r="C149" s="1">
        <v>2</v>
      </c>
      <c r="D149" s="1">
        <v>50</v>
      </c>
      <c r="E149" s="5" t="str">
        <f t="shared" si="20"/>
        <v>外功攻击+5;内功攻击+5</v>
      </c>
      <c r="F149" s="1" t="s">
        <v>14</v>
      </c>
      <c r="G149" s="38" t="s">
        <v>305</v>
      </c>
      <c r="J149" s="5" t="s">
        <v>18</v>
      </c>
      <c r="K149" s="5" t="s">
        <v>287</v>
      </c>
    </row>
    <row r="150" spans="1:11" x14ac:dyDescent="0.25">
      <c r="A150" s="1">
        <v>1030205</v>
      </c>
      <c r="B150" s="7">
        <v>103002</v>
      </c>
      <c r="C150" s="1">
        <v>1</v>
      </c>
      <c r="D150" s="1">
        <v>0</v>
      </c>
      <c r="E150" s="5">
        <f t="shared" si="20"/>
        <v>0</v>
      </c>
      <c r="F150" s="1" t="s">
        <v>14</v>
      </c>
      <c r="G150" s="38" t="s">
        <v>305</v>
      </c>
      <c r="J150" s="5">
        <v>0</v>
      </c>
      <c r="K150" s="5">
        <v>0</v>
      </c>
    </row>
    <row r="151" spans="1:11" x14ac:dyDescent="0.25">
      <c r="A151" s="1">
        <v>1030206</v>
      </c>
      <c r="B151" s="7">
        <v>103002</v>
      </c>
      <c r="C151" s="1">
        <v>3</v>
      </c>
      <c r="D151" s="1">
        <v>100</v>
      </c>
      <c r="E151" s="5" t="str">
        <f t="shared" si="20"/>
        <v>外功攻击+27;内功攻击+27</v>
      </c>
      <c r="F151" s="1" t="s">
        <v>14</v>
      </c>
      <c r="G151" s="38" t="s">
        <v>305</v>
      </c>
      <c r="J151" s="5" t="s">
        <v>19</v>
      </c>
      <c r="K151" s="5" t="s">
        <v>288</v>
      </c>
    </row>
    <row r="152" spans="1:11" x14ac:dyDescent="0.25">
      <c r="A152" s="1">
        <v>1030207</v>
      </c>
      <c r="B152" s="7">
        <v>103002</v>
      </c>
      <c r="C152" s="1">
        <v>4</v>
      </c>
      <c r="D152" s="1">
        <v>200</v>
      </c>
      <c r="E152" s="5" t="str">
        <f t="shared" si="20"/>
        <v>外功攻击+30;内功攻击+30</v>
      </c>
      <c r="F152" s="1" t="s">
        <v>14</v>
      </c>
      <c r="G152" s="38" t="s">
        <v>305</v>
      </c>
      <c r="J152" s="5" t="s">
        <v>20</v>
      </c>
      <c r="K152" s="5" t="s">
        <v>289</v>
      </c>
    </row>
    <row r="153" spans="1:11" x14ac:dyDescent="0.25">
      <c r="A153" s="1">
        <v>1030208</v>
      </c>
      <c r="B153" s="7">
        <v>103002</v>
      </c>
      <c r="C153" s="1">
        <v>5</v>
      </c>
      <c r="D153" s="1">
        <v>300</v>
      </c>
      <c r="E153" s="5" t="str">
        <f t="shared" si="20"/>
        <v>外功攻击+55;内功攻击+55</v>
      </c>
      <c r="F153" s="1" t="s">
        <v>14</v>
      </c>
      <c r="G153" s="38" t="s">
        <v>305</v>
      </c>
      <c r="J153" s="5" t="s">
        <v>21</v>
      </c>
      <c r="K153" s="5" t="s">
        <v>290</v>
      </c>
    </row>
    <row r="154" spans="1:11" x14ac:dyDescent="0.25">
      <c r="A154" s="1">
        <v>1030209</v>
      </c>
      <c r="B154" s="7">
        <v>103002</v>
      </c>
      <c r="C154" s="1">
        <v>6</v>
      </c>
      <c r="D154" s="1">
        <v>400</v>
      </c>
      <c r="E154" s="5" t="str">
        <f t="shared" si="20"/>
        <v>外功攻击+80;内功攻击+80</v>
      </c>
      <c r="F154" s="1" t="s">
        <v>14</v>
      </c>
      <c r="G154" s="38" t="s">
        <v>305</v>
      </c>
      <c r="J154" s="5" t="s">
        <v>22</v>
      </c>
      <c r="K154" s="5" t="s">
        <v>291</v>
      </c>
    </row>
    <row r="155" spans="1:11" x14ac:dyDescent="0.25">
      <c r="A155" s="1">
        <v>1030210</v>
      </c>
      <c r="B155" s="7">
        <v>103002</v>
      </c>
      <c r="C155" s="1">
        <v>7</v>
      </c>
      <c r="D155" s="1">
        <v>500</v>
      </c>
      <c r="E155" s="5" t="str">
        <f t="shared" si="20"/>
        <v>外功攻击+125;内功攻击+125</v>
      </c>
      <c r="F155" s="1" t="s">
        <v>14</v>
      </c>
      <c r="G155" s="38" t="s">
        <v>305</v>
      </c>
      <c r="J155" s="5" t="s">
        <v>23</v>
      </c>
      <c r="K155" s="5" t="s">
        <v>292</v>
      </c>
    </row>
    <row r="156" spans="1:11" x14ac:dyDescent="0.25">
      <c r="A156" s="1">
        <v>1030211</v>
      </c>
      <c r="B156" s="7">
        <v>103002</v>
      </c>
      <c r="C156" s="1">
        <f>C155+1</f>
        <v>8</v>
      </c>
      <c r="D156" s="1">
        <f>D155*2</f>
        <v>1000</v>
      </c>
      <c r="E156" s="5" t="str">
        <f t="shared" si="20"/>
        <v>外功攻击+249;内功攻击+249</v>
      </c>
      <c r="F156" s="1" t="str">
        <f>F155</f>
        <v>1+0;</v>
      </c>
      <c r="G156" s="38" t="s">
        <v>305</v>
      </c>
      <c r="J156" s="5" t="s">
        <v>284</v>
      </c>
      <c r="K156" s="5" t="s">
        <v>293</v>
      </c>
    </row>
    <row r="157" spans="1:11" x14ac:dyDescent="0.25">
      <c r="A157" s="1">
        <v>1030212</v>
      </c>
      <c r="B157" s="7">
        <v>103002</v>
      </c>
      <c r="C157" s="1">
        <f>C156+1</f>
        <v>9</v>
      </c>
      <c r="D157" s="1">
        <f>D156+100</f>
        <v>1100</v>
      </c>
      <c r="E157" s="5" t="str">
        <f t="shared" si="20"/>
        <v>外功攻击+403;内功攻击+403</v>
      </c>
      <c r="F157" s="1" t="str">
        <f>F156</f>
        <v>1+0;</v>
      </c>
      <c r="G157" s="38" t="s">
        <v>305</v>
      </c>
      <c r="J157" s="5" t="s">
        <v>285</v>
      </c>
      <c r="K157" s="5" t="s">
        <v>294</v>
      </c>
    </row>
    <row r="158" spans="1:11" x14ac:dyDescent="0.25">
      <c r="A158" s="1">
        <f>A157+1</f>
        <v>1030213</v>
      </c>
      <c r="B158" s="1">
        <f>B157</f>
        <v>103002</v>
      </c>
      <c r="C158" s="1">
        <f>C157+1</f>
        <v>10</v>
      </c>
      <c r="D158" s="1">
        <f>D157+100</f>
        <v>1200</v>
      </c>
      <c r="E158" s="5" t="str">
        <f t="shared" si="20"/>
        <v>外功攻击+503;内功攻击+503</v>
      </c>
      <c r="F158" s="1" t="str">
        <f>F157</f>
        <v>1+0;</v>
      </c>
      <c r="G158" s="1" t="str">
        <f>G157</f>
        <v>醉君侯刀铭</v>
      </c>
      <c r="J158" s="5" t="s">
        <v>308</v>
      </c>
      <c r="K158" s="5" t="s">
        <v>309</v>
      </c>
    </row>
    <row r="159" spans="1:11" x14ac:dyDescent="0.25">
      <c r="A159" s="1">
        <v>1040101</v>
      </c>
      <c r="B159" s="1">
        <v>104001</v>
      </c>
      <c r="C159" s="1">
        <v>1</v>
      </c>
      <c r="D159" s="1">
        <v>0</v>
      </c>
      <c r="E159" s="5">
        <f t="shared" si="11"/>
        <v>0</v>
      </c>
      <c r="F159" s="1" t="s">
        <v>14</v>
      </c>
      <c r="G159" s="1" t="s">
        <v>33</v>
      </c>
      <c r="J159" s="5">
        <v>0</v>
      </c>
      <c r="K159" s="5">
        <v>0</v>
      </c>
    </row>
    <row r="160" spans="1:11" x14ac:dyDescent="0.25">
      <c r="A160" s="1">
        <v>1040102</v>
      </c>
      <c r="B160" s="1">
        <v>104001</v>
      </c>
      <c r="C160" s="1">
        <v>1</v>
      </c>
      <c r="D160" s="1">
        <v>10</v>
      </c>
      <c r="E160" s="5" t="str">
        <f t="shared" si="11"/>
        <v>外功攻击+3;内功攻击+3</v>
      </c>
      <c r="F160" s="1" t="s">
        <v>14</v>
      </c>
      <c r="G160" s="1" t="s">
        <v>33</v>
      </c>
      <c r="J160" s="5" t="s">
        <v>16</v>
      </c>
      <c r="K160" s="5" t="s">
        <v>286</v>
      </c>
    </row>
    <row r="161" spans="1:11" x14ac:dyDescent="0.25">
      <c r="A161" s="1">
        <v>1040103</v>
      </c>
      <c r="B161" s="1">
        <v>104001</v>
      </c>
      <c r="C161" s="1">
        <v>1</v>
      </c>
      <c r="D161" s="1">
        <v>0</v>
      </c>
      <c r="E161" s="5">
        <f t="shared" si="11"/>
        <v>0</v>
      </c>
      <c r="F161" s="1" t="s">
        <v>14</v>
      </c>
      <c r="G161" s="1" t="s">
        <v>33</v>
      </c>
      <c r="J161" s="5">
        <v>0</v>
      </c>
      <c r="K161" s="5">
        <v>0</v>
      </c>
    </row>
    <row r="162" spans="1:11" x14ac:dyDescent="0.25">
      <c r="A162" s="1">
        <v>1040104</v>
      </c>
      <c r="B162" s="1">
        <v>104001</v>
      </c>
      <c r="C162" s="1">
        <v>2</v>
      </c>
      <c r="D162" s="1">
        <v>50</v>
      </c>
      <c r="E162" s="5" t="str">
        <f t="shared" si="11"/>
        <v>外功攻击+5;内功攻击+5</v>
      </c>
      <c r="F162" s="1" t="s">
        <v>14</v>
      </c>
      <c r="G162" s="1" t="s">
        <v>33</v>
      </c>
      <c r="J162" s="5" t="s">
        <v>18</v>
      </c>
      <c r="K162" s="5" t="s">
        <v>287</v>
      </c>
    </row>
    <row r="163" spans="1:11" x14ac:dyDescent="0.25">
      <c r="A163" s="1">
        <v>1040105</v>
      </c>
      <c r="B163" s="1">
        <v>104001</v>
      </c>
      <c r="C163" s="1">
        <v>1</v>
      </c>
      <c r="D163" s="1">
        <v>0</v>
      </c>
      <c r="E163" s="5">
        <f t="shared" si="11"/>
        <v>0</v>
      </c>
      <c r="F163" s="1" t="s">
        <v>14</v>
      </c>
      <c r="G163" s="1" t="s">
        <v>33</v>
      </c>
      <c r="J163" s="5">
        <v>0</v>
      </c>
      <c r="K163" s="5">
        <v>0</v>
      </c>
    </row>
    <row r="164" spans="1:11" x14ac:dyDescent="0.25">
      <c r="A164" s="1">
        <v>1040106</v>
      </c>
      <c r="B164" s="1">
        <v>104001</v>
      </c>
      <c r="C164" s="1">
        <v>3</v>
      </c>
      <c r="D164" s="1">
        <v>100</v>
      </c>
      <c r="E164" s="5" t="str">
        <f t="shared" si="11"/>
        <v>外功攻击+27;内功攻击+27</v>
      </c>
      <c r="F164" s="1" t="s">
        <v>14</v>
      </c>
      <c r="G164" s="1" t="s">
        <v>33</v>
      </c>
      <c r="J164" s="5" t="s">
        <v>19</v>
      </c>
      <c r="K164" s="5" t="s">
        <v>288</v>
      </c>
    </row>
    <row r="165" spans="1:11" x14ac:dyDescent="0.25">
      <c r="A165" s="1">
        <v>1040107</v>
      </c>
      <c r="B165" s="1">
        <v>104001</v>
      </c>
      <c r="C165" s="1">
        <v>4</v>
      </c>
      <c r="D165" s="1">
        <v>200</v>
      </c>
      <c r="E165" s="5" t="str">
        <f t="shared" si="11"/>
        <v>外功攻击+30;内功攻击+30</v>
      </c>
      <c r="F165" s="1" t="s">
        <v>14</v>
      </c>
      <c r="G165" s="1" t="s">
        <v>33</v>
      </c>
      <c r="J165" s="5" t="s">
        <v>20</v>
      </c>
      <c r="K165" s="5" t="s">
        <v>289</v>
      </c>
    </row>
    <row r="166" spans="1:11" x14ac:dyDescent="0.25">
      <c r="A166" s="1">
        <v>1040108</v>
      </c>
      <c r="B166" s="1">
        <v>104001</v>
      </c>
      <c r="C166" s="1">
        <v>5</v>
      </c>
      <c r="D166" s="1">
        <v>300</v>
      </c>
      <c r="E166" s="5" t="str">
        <f t="shared" si="11"/>
        <v>外功攻击+55;内功攻击+55</v>
      </c>
      <c r="F166" s="1" t="s">
        <v>14</v>
      </c>
      <c r="G166" s="1" t="s">
        <v>33</v>
      </c>
      <c r="J166" s="5" t="s">
        <v>21</v>
      </c>
      <c r="K166" s="5" t="s">
        <v>290</v>
      </c>
    </row>
    <row r="167" spans="1:11" x14ac:dyDescent="0.25">
      <c r="A167" s="1">
        <v>1040109</v>
      </c>
      <c r="B167" s="1">
        <v>104001</v>
      </c>
      <c r="C167" s="1">
        <v>6</v>
      </c>
      <c r="D167" s="1">
        <v>400</v>
      </c>
      <c r="E167" s="5" t="str">
        <f t="shared" si="11"/>
        <v>外功攻击+80;内功攻击+80</v>
      </c>
      <c r="F167" s="1" t="s">
        <v>14</v>
      </c>
      <c r="G167" s="1" t="s">
        <v>33</v>
      </c>
      <c r="J167" s="5" t="s">
        <v>22</v>
      </c>
      <c r="K167" s="5" t="s">
        <v>291</v>
      </c>
    </row>
    <row r="168" spans="1:11" x14ac:dyDescent="0.25">
      <c r="A168" s="1">
        <v>1040110</v>
      </c>
      <c r="B168" s="1">
        <v>104001</v>
      </c>
      <c r="C168" s="1">
        <v>7</v>
      </c>
      <c r="D168" s="1">
        <v>500</v>
      </c>
      <c r="E168" s="5" t="str">
        <f t="shared" si="11"/>
        <v>外功攻击+125;内功攻击+125</v>
      </c>
      <c r="F168" s="1" t="s">
        <v>14</v>
      </c>
      <c r="G168" s="1" t="s">
        <v>33</v>
      </c>
      <c r="J168" s="5" t="s">
        <v>23</v>
      </c>
      <c r="K168" s="5" t="s">
        <v>292</v>
      </c>
    </row>
    <row r="169" spans="1:11" x14ac:dyDescent="0.25">
      <c r="A169" s="1">
        <f>A168+1</f>
        <v>1040111</v>
      </c>
      <c r="B169" s="1">
        <f>B168</f>
        <v>104001</v>
      </c>
      <c r="C169" s="1">
        <f>C168+1</f>
        <v>8</v>
      </c>
      <c r="D169" s="1">
        <f>D168*2</f>
        <v>1000</v>
      </c>
      <c r="E169" s="5" t="str">
        <f t="shared" si="11"/>
        <v>外功攻击+249;内功攻击+249</v>
      </c>
      <c r="F169" s="1" t="str">
        <f t="shared" ref="F169:G171" si="21">F168</f>
        <v>1+0;</v>
      </c>
      <c r="G169" s="1" t="str">
        <f t="shared" si="21"/>
        <v>北顾枪法</v>
      </c>
      <c r="J169" s="5" t="s">
        <v>284</v>
      </c>
      <c r="K169" s="5" t="s">
        <v>293</v>
      </c>
    </row>
    <row r="170" spans="1:11" x14ac:dyDescent="0.25">
      <c r="A170" s="1">
        <f>A169+1</f>
        <v>1040112</v>
      </c>
      <c r="B170" s="1">
        <f>B169</f>
        <v>104001</v>
      </c>
      <c r="C170" s="1">
        <f>C169+1</f>
        <v>9</v>
      </c>
      <c r="D170" s="1">
        <f>D169+100</f>
        <v>1100</v>
      </c>
      <c r="E170" s="5" t="str">
        <f t="shared" si="11"/>
        <v>外功攻击+403;内功攻击+403</v>
      </c>
      <c r="F170" s="1" t="str">
        <f t="shared" si="21"/>
        <v>1+0;</v>
      </c>
      <c r="G170" s="1" t="str">
        <f t="shared" si="21"/>
        <v>北顾枪法</v>
      </c>
      <c r="J170" s="5" t="s">
        <v>285</v>
      </c>
      <c r="K170" s="5" t="s">
        <v>294</v>
      </c>
    </row>
    <row r="171" spans="1:11" x14ac:dyDescent="0.25">
      <c r="A171" s="1">
        <f>A170+1</f>
        <v>1040113</v>
      </c>
      <c r="B171" s="1">
        <f>B170</f>
        <v>104001</v>
      </c>
      <c r="C171" s="1">
        <f>C170+1</f>
        <v>10</v>
      </c>
      <c r="D171" s="1">
        <f>D170+100</f>
        <v>1200</v>
      </c>
      <c r="E171" s="5" t="str">
        <f t="shared" si="11"/>
        <v>外功攻击+503;内功攻击+503</v>
      </c>
      <c r="F171" s="1" t="str">
        <f t="shared" si="21"/>
        <v>1+0;</v>
      </c>
      <c r="G171" s="1" t="str">
        <f t="shared" si="21"/>
        <v>北顾枪法</v>
      </c>
      <c r="J171" s="5" t="s">
        <v>308</v>
      </c>
      <c r="K171" s="5" t="s">
        <v>309</v>
      </c>
    </row>
    <row r="172" spans="1:11" x14ac:dyDescent="0.25">
      <c r="A172" s="1">
        <v>1040201</v>
      </c>
      <c r="B172" s="1">
        <v>104002</v>
      </c>
      <c r="C172" s="1">
        <v>1</v>
      </c>
      <c r="D172" s="1">
        <v>0</v>
      </c>
      <c r="E172" s="5">
        <f t="shared" si="11"/>
        <v>0</v>
      </c>
      <c r="F172" s="1" t="s">
        <v>14</v>
      </c>
      <c r="G172" s="1" t="s">
        <v>34</v>
      </c>
      <c r="J172" s="5">
        <v>0</v>
      </c>
      <c r="K172" s="5">
        <v>0</v>
      </c>
    </row>
    <row r="173" spans="1:11" x14ac:dyDescent="0.25">
      <c r="A173" s="1">
        <v>1040202</v>
      </c>
      <c r="B173" s="1">
        <v>104002</v>
      </c>
      <c r="C173" s="1">
        <v>1</v>
      </c>
      <c r="D173" s="1">
        <v>10</v>
      </c>
      <c r="E173" s="5" t="str">
        <f t="shared" si="11"/>
        <v>外功攻击+3;内功攻击+3</v>
      </c>
      <c r="F173" s="1" t="s">
        <v>14</v>
      </c>
      <c r="G173" s="1" t="s">
        <v>34</v>
      </c>
      <c r="J173" s="5" t="s">
        <v>16</v>
      </c>
      <c r="K173" s="5" t="s">
        <v>286</v>
      </c>
    </row>
    <row r="174" spans="1:11" x14ac:dyDescent="0.25">
      <c r="A174" s="1">
        <v>1040203</v>
      </c>
      <c r="B174" s="1">
        <v>104002</v>
      </c>
      <c r="C174" s="1">
        <v>1</v>
      </c>
      <c r="D174" s="1">
        <v>0</v>
      </c>
      <c r="E174" s="5">
        <f t="shared" si="11"/>
        <v>0</v>
      </c>
      <c r="F174" s="1" t="s">
        <v>14</v>
      </c>
      <c r="G174" s="1" t="s">
        <v>34</v>
      </c>
      <c r="J174" s="5">
        <v>0</v>
      </c>
      <c r="K174" s="5">
        <v>0</v>
      </c>
    </row>
    <row r="175" spans="1:11" x14ac:dyDescent="0.25">
      <c r="A175" s="1">
        <v>1040204</v>
      </c>
      <c r="B175" s="1">
        <v>104002</v>
      </c>
      <c r="C175" s="1">
        <v>2</v>
      </c>
      <c r="D175" s="1">
        <v>50</v>
      </c>
      <c r="E175" s="5" t="str">
        <f t="shared" si="11"/>
        <v>外功攻击+5;内功攻击+5</v>
      </c>
      <c r="F175" s="1" t="s">
        <v>14</v>
      </c>
      <c r="G175" s="1" t="s">
        <v>34</v>
      </c>
      <c r="J175" s="5" t="s">
        <v>18</v>
      </c>
      <c r="K175" s="5" t="s">
        <v>287</v>
      </c>
    </row>
    <row r="176" spans="1:11" x14ac:dyDescent="0.25">
      <c r="A176" s="1">
        <v>1040205</v>
      </c>
      <c r="B176" s="1">
        <v>104002</v>
      </c>
      <c r="C176" s="1">
        <v>1</v>
      </c>
      <c r="D176" s="1">
        <v>0</v>
      </c>
      <c r="E176" s="5">
        <f t="shared" si="11"/>
        <v>0</v>
      </c>
      <c r="F176" s="1" t="s">
        <v>14</v>
      </c>
      <c r="G176" s="1" t="s">
        <v>34</v>
      </c>
      <c r="J176" s="5">
        <v>0</v>
      </c>
      <c r="K176" s="5">
        <v>0</v>
      </c>
    </row>
    <row r="177" spans="1:11" x14ac:dyDescent="0.25">
      <c r="A177" s="1">
        <v>1040206</v>
      </c>
      <c r="B177" s="1">
        <v>104002</v>
      </c>
      <c r="C177" s="1">
        <v>3</v>
      </c>
      <c r="D177" s="1">
        <v>100</v>
      </c>
      <c r="E177" s="5" t="str">
        <f t="shared" si="11"/>
        <v>外功攻击+27;内功攻击+27</v>
      </c>
      <c r="F177" s="1" t="s">
        <v>14</v>
      </c>
      <c r="G177" s="1" t="s">
        <v>34</v>
      </c>
      <c r="J177" s="5" t="s">
        <v>19</v>
      </c>
      <c r="K177" s="5" t="s">
        <v>288</v>
      </c>
    </row>
    <row r="178" spans="1:11" x14ac:dyDescent="0.25">
      <c r="A178" s="1">
        <v>1040207</v>
      </c>
      <c r="B178" s="1">
        <v>104002</v>
      </c>
      <c r="C178" s="1">
        <v>4</v>
      </c>
      <c r="D178" s="1">
        <v>200</v>
      </c>
      <c r="E178" s="5" t="str">
        <f t="shared" si="11"/>
        <v>外功攻击+30;内功攻击+30</v>
      </c>
      <c r="F178" s="1" t="s">
        <v>14</v>
      </c>
      <c r="G178" s="1" t="s">
        <v>34</v>
      </c>
      <c r="J178" s="5" t="s">
        <v>20</v>
      </c>
      <c r="K178" s="5" t="s">
        <v>289</v>
      </c>
    </row>
    <row r="179" spans="1:11" x14ac:dyDescent="0.25">
      <c r="A179" s="1">
        <v>1040208</v>
      </c>
      <c r="B179" s="1">
        <v>104002</v>
      </c>
      <c r="C179" s="1">
        <v>5</v>
      </c>
      <c r="D179" s="1">
        <v>300</v>
      </c>
      <c r="E179" s="5" t="str">
        <f t="shared" si="11"/>
        <v>外功攻击+55;内功攻击+55</v>
      </c>
      <c r="F179" s="1" t="s">
        <v>14</v>
      </c>
      <c r="G179" s="1" t="s">
        <v>34</v>
      </c>
      <c r="J179" s="5" t="s">
        <v>21</v>
      </c>
      <c r="K179" s="5" t="s">
        <v>290</v>
      </c>
    </row>
    <row r="180" spans="1:11" x14ac:dyDescent="0.25">
      <c r="A180" s="1">
        <v>1040209</v>
      </c>
      <c r="B180" s="1">
        <v>104002</v>
      </c>
      <c r="C180" s="1">
        <v>6</v>
      </c>
      <c r="D180" s="1">
        <v>400</v>
      </c>
      <c r="E180" s="5" t="str">
        <f t="shared" si="11"/>
        <v>外功攻击+80;内功攻击+80</v>
      </c>
      <c r="F180" s="1" t="s">
        <v>14</v>
      </c>
      <c r="G180" s="1" t="s">
        <v>34</v>
      </c>
      <c r="J180" s="5" t="s">
        <v>22</v>
      </c>
      <c r="K180" s="5" t="s">
        <v>291</v>
      </c>
    </row>
    <row r="181" spans="1:11" x14ac:dyDescent="0.25">
      <c r="A181" s="1">
        <v>1040210</v>
      </c>
      <c r="B181" s="1">
        <v>104002</v>
      </c>
      <c r="C181" s="1">
        <v>7</v>
      </c>
      <c r="D181" s="1">
        <v>500</v>
      </c>
      <c r="E181" s="5" t="str">
        <f t="shared" ref="E181:E276" si="22">IF(J181=0,J181,J181&amp;";"&amp;K181)</f>
        <v>外功攻击+125;内功攻击+125</v>
      </c>
      <c r="F181" s="1" t="s">
        <v>14</v>
      </c>
      <c r="G181" s="1" t="s">
        <v>34</v>
      </c>
      <c r="J181" s="5" t="s">
        <v>23</v>
      </c>
      <c r="K181" s="5" t="s">
        <v>292</v>
      </c>
    </row>
    <row r="182" spans="1:11" x14ac:dyDescent="0.25">
      <c r="A182" s="1">
        <f>A181+1</f>
        <v>1040211</v>
      </c>
      <c r="B182" s="1">
        <f>B181</f>
        <v>104002</v>
      </c>
      <c r="C182" s="1">
        <f>C181+1</f>
        <v>8</v>
      </c>
      <c r="D182" s="1">
        <f>D181*2</f>
        <v>1000</v>
      </c>
      <c r="E182" s="5" t="str">
        <f t="shared" si="22"/>
        <v>外功攻击+249;内功攻击+249</v>
      </c>
      <c r="F182" s="1" t="str">
        <f t="shared" ref="F182:G184" si="23">F181</f>
        <v>1+0;</v>
      </c>
      <c r="G182" s="1" t="str">
        <f t="shared" si="23"/>
        <v>玄黄入阵旌</v>
      </c>
      <c r="J182" s="5" t="s">
        <v>284</v>
      </c>
      <c r="K182" s="5" t="s">
        <v>293</v>
      </c>
    </row>
    <row r="183" spans="1:11" x14ac:dyDescent="0.25">
      <c r="A183" s="1">
        <f>A182+1</f>
        <v>1040212</v>
      </c>
      <c r="B183" s="1">
        <f>B182</f>
        <v>104002</v>
      </c>
      <c r="C183" s="1">
        <f>C182+1</f>
        <v>9</v>
      </c>
      <c r="D183" s="1">
        <f>D182+100</f>
        <v>1100</v>
      </c>
      <c r="E183" s="5" t="str">
        <f t="shared" si="22"/>
        <v>外功攻击+403;内功攻击+403</v>
      </c>
      <c r="F183" s="1" t="str">
        <f t="shared" si="23"/>
        <v>1+0;</v>
      </c>
      <c r="G183" s="1" t="str">
        <f t="shared" si="23"/>
        <v>玄黄入阵旌</v>
      </c>
      <c r="J183" s="5" t="s">
        <v>285</v>
      </c>
      <c r="K183" s="5" t="s">
        <v>294</v>
      </c>
    </row>
    <row r="184" spans="1:11" x14ac:dyDescent="0.25">
      <c r="A184" s="1">
        <f>A183+1</f>
        <v>1040213</v>
      </c>
      <c r="B184" s="1">
        <f>B183</f>
        <v>104002</v>
      </c>
      <c r="C184" s="1">
        <f>C183+1</f>
        <v>10</v>
      </c>
      <c r="D184" s="1">
        <f>D183+100</f>
        <v>1200</v>
      </c>
      <c r="E184" s="5" t="str">
        <f t="shared" si="22"/>
        <v>外功攻击+503;内功攻击+503</v>
      </c>
      <c r="F184" s="1" t="str">
        <f t="shared" si="23"/>
        <v>1+0;</v>
      </c>
      <c r="G184" s="1" t="str">
        <f t="shared" si="23"/>
        <v>玄黄入阵旌</v>
      </c>
      <c r="J184" s="5" t="s">
        <v>308</v>
      </c>
      <c r="K184" s="5" t="s">
        <v>309</v>
      </c>
    </row>
    <row r="185" spans="1:11" x14ac:dyDescent="0.25">
      <c r="A185" s="1">
        <v>1040301</v>
      </c>
      <c r="B185" s="1">
        <v>104003</v>
      </c>
      <c r="C185" s="1">
        <v>1</v>
      </c>
      <c r="D185" s="1">
        <v>0</v>
      </c>
      <c r="E185" s="5">
        <f t="shared" si="22"/>
        <v>0</v>
      </c>
      <c r="F185" s="1" t="s">
        <v>14</v>
      </c>
      <c r="G185" s="1" t="s">
        <v>35</v>
      </c>
      <c r="J185" s="5">
        <v>0</v>
      </c>
      <c r="K185" s="5">
        <v>0</v>
      </c>
    </row>
    <row r="186" spans="1:11" x14ac:dyDescent="0.25">
      <c r="A186" s="1">
        <v>1040302</v>
      </c>
      <c r="B186" s="1">
        <v>104003</v>
      </c>
      <c r="C186" s="1">
        <v>1</v>
      </c>
      <c r="D186" s="1">
        <v>10</v>
      </c>
      <c r="E186" s="5" t="str">
        <f t="shared" si="22"/>
        <v>外功攻击+3;内功攻击+3</v>
      </c>
      <c r="F186" s="1" t="s">
        <v>14</v>
      </c>
      <c r="G186" s="1" t="s">
        <v>35</v>
      </c>
      <c r="J186" s="5" t="s">
        <v>16</v>
      </c>
      <c r="K186" s="5" t="s">
        <v>286</v>
      </c>
    </row>
    <row r="187" spans="1:11" x14ac:dyDescent="0.25">
      <c r="A187" s="1">
        <v>1040303</v>
      </c>
      <c r="B187" s="1">
        <v>104003</v>
      </c>
      <c r="C187" s="1">
        <v>1</v>
      </c>
      <c r="D187" s="1">
        <v>0</v>
      </c>
      <c r="E187" s="5">
        <f t="shared" si="22"/>
        <v>0</v>
      </c>
      <c r="F187" s="1" t="s">
        <v>14</v>
      </c>
      <c r="G187" s="1" t="s">
        <v>35</v>
      </c>
      <c r="J187" s="5">
        <v>0</v>
      </c>
      <c r="K187" s="5">
        <v>0</v>
      </c>
    </row>
    <row r="188" spans="1:11" x14ac:dyDescent="0.25">
      <c r="A188" s="1">
        <v>1040304</v>
      </c>
      <c r="B188" s="1">
        <v>104003</v>
      </c>
      <c r="C188" s="1">
        <v>2</v>
      </c>
      <c r="D188" s="1">
        <v>50</v>
      </c>
      <c r="E188" s="5" t="str">
        <f t="shared" si="22"/>
        <v>外功攻击+5;内功攻击+5</v>
      </c>
      <c r="F188" s="1" t="s">
        <v>14</v>
      </c>
      <c r="G188" s="1" t="s">
        <v>35</v>
      </c>
      <c r="J188" s="5" t="s">
        <v>18</v>
      </c>
      <c r="K188" s="5" t="s">
        <v>287</v>
      </c>
    </row>
    <row r="189" spans="1:11" x14ac:dyDescent="0.25">
      <c r="A189" s="1">
        <v>1040305</v>
      </c>
      <c r="B189" s="1">
        <v>104003</v>
      </c>
      <c r="C189" s="1">
        <v>1</v>
      </c>
      <c r="D189" s="1">
        <v>0</v>
      </c>
      <c r="E189" s="5">
        <f t="shared" si="22"/>
        <v>0</v>
      </c>
      <c r="F189" s="1" t="s">
        <v>14</v>
      </c>
      <c r="G189" s="1" t="s">
        <v>35</v>
      </c>
      <c r="J189" s="5">
        <v>0</v>
      </c>
      <c r="K189" s="5">
        <v>0</v>
      </c>
    </row>
    <row r="190" spans="1:11" x14ac:dyDescent="0.25">
      <c r="A190" s="1">
        <v>1040306</v>
      </c>
      <c r="B190" s="1">
        <v>104003</v>
      </c>
      <c r="C190" s="1">
        <v>3</v>
      </c>
      <c r="D190" s="1">
        <v>100</v>
      </c>
      <c r="E190" s="5" t="str">
        <f t="shared" si="22"/>
        <v>外功攻击+27;内功攻击+27</v>
      </c>
      <c r="F190" s="1" t="s">
        <v>14</v>
      </c>
      <c r="G190" s="1" t="s">
        <v>35</v>
      </c>
      <c r="J190" s="5" t="s">
        <v>19</v>
      </c>
      <c r="K190" s="5" t="s">
        <v>288</v>
      </c>
    </row>
    <row r="191" spans="1:11" x14ac:dyDescent="0.25">
      <c r="A191" s="1">
        <v>1040307</v>
      </c>
      <c r="B191" s="1">
        <v>104003</v>
      </c>
      <c r="C191" s="1">
        <v>4</v>
      </c>
      <c r="D191" s="1">
        <v>200</v>
      </c>
      <c r="E191" s="5" t="str">
        <f t="shared" si="22"/>
        <v>外功攻击+30;内功攻击+30</v>
      </c>
      <c r="F191" s="1" t="s">
        <v>14</v>
      </c>
      <c r="G191" s="1" t="s">
        <v>35</v>
      </c>
      <c r="J191" s="5" t="s">
        <v>20</v>
      </c>
      <c r="K191" s="5" t="s">
        <v>289</v>
      </c>
    </row>
    <row r="192" spans="1:11" x14ac:dyDescent="0.25">
      <c r="A192" s="1">
        <v>1040308</v>
      </c>
      <c r="B192" s="1">
        <v>104003</v>
      </c>
      <c r="C192" s="1">
        <v>5</v>
      </c>
      <c r="D192" s="1">
        <v>300</v>
      </c>
      <c r="E192" s="5" t="str">
        <f t="shared" si="22"/>
        <v>外功攻击+55;内功攻击+55</v>
      </c>
      <c r="F192" s="1" t="s">
        <v>14</v>
      </c>
      <c r="G192" s="1" t="s">
        <v>35</v>
      </c>
      <c r="J192" s="5" t="s">
        <v>21</v>
      </c>
      <c r="K192" s="5" t="s">
        <v>290</v>
      </c>
    </row>
    <row r="193" spans="1:11" x14ac:dyDescent="0.25">
      <c r="A193" s="1">
        <v>1040309</v>
      </c>
      <c r="B193" s="1">
        <v>104003</v>
      </c>
      <c r="C193" s="1">
        <v>6</v>
      </c>
      <c r="D193" s="1">
        <v>400</v>
      </c>
      <c r="E193" s="5" t="str">
        <f t="shared" si="22"/>
        <v>外功攻击+80;内功攻击+80</v>
      </c>
      <c r="F193" s="1" t="s">
        <v>14</v>
      </c>
      <c r="G193" s="1" t="s">
        <v>35</v>
      </c>
      <c r="J193" s="5" t="s">
        <v>22</v>
      </c>
      <c r="K193" s="5" t="s">
        <v>291</v>
      </c>
    </row>
    <row r="194" spans="1:11" x14ac:dyDescent="0.25">
      <c r="A194" s="1">
        <v>1040310</v>
      </c>
      <c r="B194" s="1">
        <v>104003</v>
      </c>
      <c r="C194" s="1">
        <v>7</v>
      </c>
      <c r="D194" s="1">
        <v>500</v>
      </c>
      <c r="E194" s="5" t="str">
        <f t="shared" si="22"/>
        <v>外功攻击+125;内功攻击+125</v>
      </c>
      <c r="F194" s="1" t="s">
        <v>14</v>
      </c>
      <c r="G194" s="1" t="s">
        <v>35</v>
      </c>
      <c r="J194" s="5" t="s">
        <v>23</v>
      </c>
      <c r="K194" s="5" t="s">
        <v>292</v>
      </c>
    </row>
    <row r="195" spans="1:11" x14ac:dyDescent="0.25">
      <c r="A195" s="1">
        <f>A194+1</f>
        <v>1040311</v>
      </c>
      <c r="B195" s="1">
        <f>B194</f>
        <v>104003</v>
      </c>
      <c r="C195" s="1">
        <f>C194+1</f>
        <v>8</v>
      </c>
      <c r="D195" s="1">
        <f>D194*2</f>
        <v>1000</v>
      </c>
      <c r="E195" s="5" t="str">
        <f t="shared" si="22"/>
        <v>外功攻击+249;内功攻击+249</v>
      </c>
      <c r="F195" s="1" t="str">
        <f t="shared" ref="F195:G197" si="24">F194</f>
        <v>1+0;</v>
      </c>
      <c r="G195" s="1" t="str">
        <f t="shared" si="24"/>
        <v>众相菩提杖</v>
      </c>
      <c r="J195" s="5" t="s">
        <v>284</v>
      </c>
      <c r="K195" s="5" t="s">
        <v>293</v>
      </c>
    </row>
    <row r="196" spans="1:11" x14ac:dyDescent="0.25">
      <c r="A196" s="1">
        <f>A195+1</f>
        <v>1040312</v>
      </c>
      <c r="B196" s="1">
        <f>B195</f>
        <v>104003</v>
      </c>
      <c r="C196" s="1">
        <f>C195+1</f>
        <v>9</v>
      </c>
      <c r="D196" s="1">
        <f>D195+100</f>
        <v>1100</v>
      </c>
      <c r="E196" s="5" t="str">
        <f t="shared" si="22"/>
        <v>外功攻击+403;内功攻击+403</v>
      </c>
      <c r="F196" s="1" t="str">
        <f t="shared" si="24"/>
        <v>1+0;</v>
      </c>
      <c r="G196" s="1" t="str">
        <f t="shared" si="24"/>
        <v>众相菩提杖</v>
      </c>
      <c r="J196" s="5" t="s">
        <v>285</v>
      </c>
      <c r="K196" s="5" t="s">
        <v>294</v>
      </c>
    </row>
    <row r="197" spans="1:11" x14ac:dyDescent="0.25">
      <c r="A197" s="1">
        <f>A196+1</f>
        <v>1040313</v>
      </c>
      <c r="B197" s="1">
        <f>B196</f>
        <v>104003</v>
      </c>
      <c r="C197" s="1">
        <f>C196+1</f>
        <v>10</v>
      </c>
      <c r="D197" s="1">
        <f>D196+100</f>
        <v>1200</v>
      </c>
      <c r="E197" s="5" t="str">
        <f t="shared" ref="E197" si="25">IF(J197=0,J197,J197&amp;";"&amp;K197)</f>
        <v>外功攻击+503;内功攻击+503</v>
      </c>
      <c r="F197" s="1" t="str">
        <f t="shared" si="24"/>
        <v>1+0;</v>
      </c>
      <c r="G197" s="1" t="str">
        <f t="shared" si="24"/>
        <v>众相菩提杖</v>
      </c>
      <c r="J197" s="5" t="s">
        <v>308</v>
      </c>
      <c r="K197" s="5" t="s">
        <v>309</v>
      </c>
    </row>
    <row r="198" spans="1:11" x14ac:dyDescent="0.25">
      <c r="A198" s="1">
        <v>1040401</v>
      </c>
      <c r="B198" s="7">
        <v>104004</v>
      </c>
      <c r="C198" s="1">
        <v>1</v>
      </c>
      <c r="D198" s="1">
        <v>0</v>
      </c>
      <c r="E198" s="5">
        <f t="shared" ref="E198:E210" si="26">IF(J198=0,J198,J198&amp;";"&amp;K198)</f>
        <v>0</v>
      </c>
      <c r="F198" s="1" t="s">
        <v>14</v>
      </c>
      <c r="G198" s="37" t="s">
        <v>304</v>
      </c>
      <c r="J198" s="5">
        <v>0</v>
      </c>
      <c r="K198" s="5">
        <v>0</v>
      </c>
    </row>
    <row r="199" spans="1:11" x14ac:dyDescent="0.25">
      <c r="A199" s="1">
        <v>1040402</v>
      </c>
      <c r="B199" s="7">
        <v>104004</v>
      </c>
      <c r="C199" s="1">
        <v>1</v>
      </c>
      <c r="D199" s="1">
        <v>10</v>
      </c>
      <c r="E199" s="5" t="str">
        <f t="shared" si="26"/>
        <v>外功攻击+3;内功攻击+3</v>
      </c>
      <c r="F199" s="1" t="s">
        <v>14</v>
      </c>
      <c r="G199" s="37" t="s">
        <v>304</v>
      </c>
      <c r="J199" s="5" t="s">
        <v>16</v>
      </c>
      <c r="K199" s="5" t="s">
        <v>286</v>
      </c>
    </row>
    <row r="200" spans="1:11" x14ac:dyDescent="0.25">
      <c r="A200" s="1">
        <v>1040403</v>
      </c>
      <c r="B200" s="7">
        <v>104004</v>
      </c>
      <c r="C200" s="1">
        <v>1</v>
      </c>
      <c r="D200" s="1">
        <v>0</v>
      </c>
      <c r="E200" s="5">
        <f t="shared" si="26"/>
        <v>0</v>
      </c>
      <c r="F200" s="1" t="s">
        <v>14</v>
      </c>
      <c r="G200" s="37" t="s">
        <v>304</v>
      </c>
      <c r="J200" s="5">
        <v>0</v>
      </c>
      <c r="K200" s="5">
        <v>0</v>
      </c>
    </row>
    <row r="201" spans="1:11" x14ac:dyDescent="0.25">
      <c r="A201" s="1">
        <v>1040404</v>
      </c>
      <c r="B201" s="7">
        <v>104004</v>
      </c>
      <c r="C201" s="1">
        <v>2</v>
      </c>
      <c r="D201" s="1">
        <v>50</v>
      </c>
      <c r="E201" s="5" t="str">
        <f t="shared" si="26"/>
        <v>外功攻击+5;内功攻击+5</v>
      </c>
      <c r="F201" s="1" t="s">
        <v>14</v>
      </c>
      <c r="G201" s="37" t="s">
        <v>304</v>
      </c>
      <c r="J201" s="5" t="s">
        <v>18</v>
      </c>
      <c r="K201" s="5" t="s">
        <v>287</v>
      </c>
    </row>
    <row r="202" spans="1:11" x14ac:dyDescent="0.25">
      <c r="A202" s="1">
        <v>1040405</v>
      </c>
      <c r="B202" s="7">
        <v>104004</v>
      </c>
      <c r="C202" s="1">
        <v>1</v>
      </c>
      <c r="D202" s="1">
        <v>0</v>
      </c>
      <c r="E202" s="5">
        <f t="shared" si="26"/>
        <v>0</v>
      </c>
      <c r="F202" s="1" t="s">
        <v>14</v>
      </c>
      <c r="G202" s="37" t="s">
        <v>304</v>
      </c>
      <c r="J202" s="5">
        <v>0</v>
      </c>
      <c r="K202" s="5">
        <v>0</v>
      </c>
    </row>
    <row r="203" spans="1:11" x14ac:dyDescent="0.25">
      <c r="A203" s="1">
        <v>1040406</v>
      </c>
      <c r="B203" s="7">
        <v>104004</v>
      </c>
      <c r="C203" s="1">
        <v>3</v>
      </c>
      <c r="D203" s="1">
        <v>100</v>
      </c>
      <c r="E203" s="5" t="str">
        <f t="shared" si="26"/>
        <v>外功攻击+27;内功攻击+27</v>
      </c>
      <c r="F203" s="1" t="s">
        <v>14</v>
      </c>
      <c r="G203" s="37" t="s">
        <v>304</v>
      </c>
      <c r="J203" s="5" t="s">
        <v>19</v>
      </c>
      <c r="K203" s="5" t="s">
        <v>288</v>
      </c>
    </row>
    <row r="204" spans="1:11" x14ac:dyDescent="0.25">
      <c r="A204" s="1">
        <v>1040407</v>
      </c>
      <c r="B204" s="7">
        <v>104004</v>
      </c>
      <c r="C204" s="1">
        <v>4</v>
      </c>
      <c r="D204" s="1">
        <v>200</v>
      </c>
      <c r="E204" s="5" t="str">
        <f t="shared" si="26"/>
        <v>外功攻击+30;内功攻击+30</v>
      </c>
      <c r="F204" s="1" t="s">
        <v>14</v>
      </c>
      <c r="G204" s="37" t="s">
        <v>304</v>
      </c>
      <c r="J204" s="5" t="s">
        <v>20</v>
      </c>
      <c r="K204" s="5" t="s">
        <v>289</v>
      </c>
    </row>
    <row r="205" spans="1:11" x14ac:dyDescent="0.25">
      <c r="A205" s="1">
        <v>1040408</v>
      </c>
      <c r="B205" s="7">
        <v>104004</v>
      </c>
      <c r="C205" s="1">
        <v>5</v>
      </c>
      <c r="D205" s="1">
        <v>300</v>
      </c>
      <c r="E205" s="5" t="str">
        <f t="shared" si="26"/>
        <v>外功攻击+55;内功攻击+55</v>
      </c>
      <c r="F205" s="1" t="s">
        <v>14</v>
      </c>
      <c r="G205" s="37" t="s">
        <v>304</v>
      </c>
      <c r="J205" s="5" t="s">
        <v>21</v>
      </c>
      <c r="K205" s="5" t="s">
        <v>290</v>
      </c>
    </row>
    <row r="206" spans="1:11" x14ac:dyDescent="0.25">
      <c r="A206" s="1">
        <v>1040409</v>
      </c>
      <c r="B206" s="7">
        <v>104004</v>
      </c>
      <c r="C206" s="1">
        <v>6</v>
      </c>
      <c r="D206" s="1">
        <v>400</v>
      </c>
      <c r="E206" s="5" t="str">
        <f t="shared" si="26"/>
        <v>外功攻击+80;内功攻击+80</v>
      </c>
      <c r="F206" s="1" t="s">
        <v>14</v>
      </c>
      <c r="G206" s="37" t="s">
        <v>304</v>
      </c>
      <c r="J206" s="5" t="s">
        <v>22</v>
      </c>
      <c r="K206" s="5" t="s">
        <v>291</v>
      </c>
    </row>
    <row r="207" spans="1:11" x14ac:dyDescent="0.25">
      <c r="A207" s="1">
        <v>1040410</v>
      </c>
      <c r="B207" s="7">
        <v>104004</v>
      </c>
      <c r="C207" s="1">
        <v>7</v>
      </c>
      <c r="D207" s="1">
        <v>500</v>
      </c>
      <c r="E207" s="5" t="str">
        <f t="shared" si="26"/>
        <v>外功攻击+125;内功攻击+125</v>
      </c>
      <c r="F207" s="1" t="s">
        <v>14</v>
      </c>
      <c r="G207" s="37" t="s">
        <v>304</v>
      </c>
      <c r="J207" s="5" t="s">
        <v>23</v>
      </c>
      <c r="K207" s="5" t="s">
        <v>292</v>
      </c>
    </row>
    <row r="208" spans="1:11" x14ac:dyDescent="0.25">
      <c r="A208" s="1">
        <v>1040411</v>
      </c>
      <c r="B208" s="7">
        <v>104004</v>
      </c>
      <c r="C208" s="1">
        <f>C207+1</f>
        <v>8</v>
      </c>
      <c r="D208" s="1">
        <f>D207*2</f>
        <v>1000</v>
      </c>
      <c r="E208" s="5" t="str">
        <f t="shared" si="26"/>
        <v>外功攻击+249;内功攻击+249</v>
      </c>
      <c r="F208" s="1" t="str">
        <f>F207</f>
        <v>1+0;</v>
      </c>
      <c r="G208" s="37" t="s">
        <v>304</v>
      </c>
      <c r="J208" s="5" t="s">
        <v>284</v>
      </c>
      <c r="K208" s="5" t="s">
        <v>293</v>
      </c>
    </row>
    <row r="209" spans="1:11" x14ac:dyDescent="0.25">
      <c r="A209" s="1">
        <v>1040412</v>
      </c>
      <c r="B209" s="7">
        <v>104004</v>
      </c>
      <c r="C209" s="1">
        <f>C208+1</f>
        <v>9</v>
      </c>
      <c r="D209" s="1">
        <f>D208+100</f>
        <v>1100</v>
      </c>
      <c r="E209" s="5" t="str">
        <f t="shared" si="26"/>
        <v>外功攻击+403;内功攻击+403</v>
      </c>
      <c r="F209" s="1" t="str">
        <f>F208</f>
        <v>1+0;</v>
      </c>
      <c r="G209" s="37" t="s">
        <v>304</v>
      </c>
      <c r="J209" s="5" t="s">
        <v>285</v>
      </c>
      <c r="K209" s="5" t="s">
        <v>294</v>
      </c>
    </row>
    <row r="210" spans="1:11" x14ac:dyDescent="0.25">
      <c r="A210" s="1">
        <f>A209+1</f>
        <v>1040413</v>
      </c>
      <c r="B210" s="1">
        <f>B209</f>
        <v>104004</v>
      </c>
      <c r="C210" s="1">
        <f>C209+1</f>
        <v>10</v>
      </c>
      <c r="D210" s="1">
        <f>D209+100</f>
        <v>1200</v>
      </c>
      <c r="E210" s="5" t="str">
        <f t="shared" si="26"/>
        <v>外功攻击+503;内功攻击+503</v>
      </c>
      <c r="F210" s="1" t="str">
        <f>F209</f>
        <v>1+0;</v>
      </c>
      <c r="G210" s="1" t="str">
        <f>G209</f>
        <v>镇国抵岳枪</v>
      </c>
      <c r="J210" s="5" t="s">
        <v>308</v>
      </c>
      <c r="K210" s="5" t="s">
        <v>309</v>
      </c>
    </row>
    <row r="211" spans="1:11" x14ac:dyDescent="0.25">
      <c r="A211" s="1">
        <v>1050101</v>
      </c>
      <c r="B211" s="1">
        <v>105001</v>
      </c>
      <c r="C211" s="1">
        <v>1</v>
      </c>
      <c r="D211" s="1">
        <v>0</v>
      </c>
      <c r="E211" s="5">
        <f t="shared" si="22"/>
        <v>0</v>
      </c>
      <c r="F211" s="1" t="s">
        <v>14</v>
      </c>
      <c r="G211" s="1" t="s">
        <v>36</v>
      </c>
      <c r="J211" s="5">
        <v>0</v>
      </c>
      <c r="K211" s="5">
        <v>0</v>
      </c>
    </row>
    <row r="212" spans="1:11" x14ac:dyDescent="0.25">
      <c r="A212" s="1">
        <v>1050102</v>
      </c>
      <c r="B212" s="1">
        <v>105001</v>
      </c>
      <c r="C212" s="1">
        <v>1</v>
      </c>
      <c r="D212" s="1">
        <v>10</v>
      </c>
      <c r="E212" s="5" t="str">
        <f t="shared" si="22"/>
        <v>外功攻击+3;内功攻击+3</v>
      </c>
      <c r="F212" s="1" t="s">
        <v>14</v>
      </c>
      <c r="G212" s="1" t="s">
        <v>36</v>
      </c>
      <c r="J212" s="5" t="s">
        <v>16</v>
      </c>
      <c r="K212" s="5" t="s">
        <v>286</v>
      </c>
    </row>
    <row r="213" spans="1:11" x14ac:dyDescent="0.25">
      <c r="A213" s="1">
        <v>1050103</v>
      </c>
      <c r="B213" s="1">
        <v>105001</v>
      </c>
      <c r="C213" s="1">
        <v>1</v>
      </c>
      <c r="D213" s="1">
        <v>0</v>
      </c>
      <c r="E213" s="5">
        <f t="shared" si="22"/>
        <v>0</v>
      </c>
      <c r="F213" s="1" t="s">
        <v>14</v>
      </c>
      <c r="G213" s="1" t="s">
        <v>36</v>
      </c>
      <c r="J213" s="5">
        <v>0</v>
      </c>
      <c r="K213" s="5">
        <v>0</v>
      </c>
    </row>
    <row r="214" spans="1:11" x14ac:dyDescent="0.25">
      <c r="A214" s="1">
        <v>1050104</v>
      </c>
      <c r="B214" s="1">
        <v>105001</v>
      </c>
      <c r="C214" s="1">
        <v>2</v>
      </c>
      <c r="D214" s="1">
        <v>50</v>
      </c>
      <c r="E214" s="5" t="str">
        <f t="shared" si="22"/>
        <v>外功攻击+5;内功攻击+5</v>
      </c>
      <c r="F214" s="1" t="s">
        <v>14</v>
      </c>
      <c r="G214" s="1" t="s">
        <v>36</v>
      </c>
      <c r="J214" s="5" t="s">
        <v>18</v>
      </c>
      <c r="K214" s="5" t="s">
        <v>287</v>
      </c>
    </row>
    <row r="215" spans="1:11" x14ac:dyDescent="0.25">
      <c r="A215" s="1">
        <v>1050105</v>
      </c>
      <c r="B215" s="1">
        <v>105001</v>
      </c>
      <c r="C215" s="1">
        <v>1</v>
      </c>
      <c r="D215" s="1">
        <v>0</v>
      </c>
      <c r="E215" s="5">
        <f t="shared" si="22"/>
        <v>0</v>
      </c>
      <c r="F215" s="1" t="s">
        <v>14</v>
      </c>
      <c r="G215" s="1" t="s">
        <v>36</v>
      </c>
      <c r="J215" s="5">
        <v>0</v>
      </c>
      <c r="K215" s="5">
        <v>0</v>
      </c>
    </row>
    <row r="216" spans="1:11" x14ac:dyDescent="0.25">
      <c r="A216" s="1">
        <v>1050106</v>
      </c>
      <c r="B216" s="1">
        <v>105001</v>
      </c>
      <c r="C216" s="1">
        <v>3</v>
      </c>
      <c r="D216" s="1">
        <v>100</v>
      </c>
      <c r="E216" s="5" t="str">
        <f t="shared" si="22"/>
        <v>外功攻击+27;内功攻击+27</v>
      </c>
      <c r="F216" s="1" t="s">
        <v>14</v>
      </c>
      <c r="G216" s="1" t="s">
        <v>36</v>
      </c>
      <c r="J216" s="5" t="s">
        <v>19</v>
      </c>
      <c r="K216" s="5" t="s">
        <v>288</v>
      </c>
    </row>
    <row r="217" spans="1:11" x14ac:dyDescent="0.25">
      <c r="A217" s="1">
        <v>1050107</v>
      </c>
      <c r="B217" s="1">
        <v>105001</v>
      </c>
      <c r="C217" s="1">
        <v>4</v>
      </c>
      <c r="D217" s="1">
        <v>200</v>
      </c>
      <c r="E217" s="5" t="str">
        <f t="shared" si="22"/>
        <v>外功攻击+30;内功攻击+30</v>
      </c>
      <c r="F217" s="1" t="s">
        <v>14</v>
      </c>
      <c r="G217" s="1" t="s">
        <v>36</v>
      </c>
      <c r="J217" s="5" t="s">
        <v>20</v>
      </c>
      <c r="K217" s="5" t="s">
        <v>289</v>
      </c>
    </row>
    <row r="218" spans="1:11" x14ac:dyDescent="0.25">
      <c r="A218" s="1">
        <v>1050108</v>
      </c>
      <c r="B218" s="1">
        <v>105001</v>
      </c>
      <c r="C218" s="1">
        <v>5</v>
      </c>
      <c r="D218" s="1">
        <v>300</v>
      </c>
      <c r="E218" s="5" t="str">
        <f t="shared" si="22"/>
        <v>外功攻击+55;内功攻击+55</v>
      </c>
      <c r="F218" s="1" t="s">
        <v>14</v>
      </c>
      <c r="G218" s="1" t="s">
        <v>36</v>
      </c>
      <c r="J218" s="5" t="s">
        <v>21</v>
      </c>
      <c r="K218" s="5" t="s">
        <v>290</v>
      </c>
    </row>
    <row r="219" spans="1:11" x14ac:dyDescent="0.25">
      <c r="A219" s="1">
        <v>1050109</v>
      </c>
      <c r="B219" s="1">
        <v>105001</v>
      </c>
      <c r="C219" s="1">
        <v>6</v>
      </c>
      <c r="D219" s="1">
        <v>400</v>
      </c>
      <c r="E219" s="5" t="str">
        <f t="shared" si="22"/>
        <v>外功攻击+80;内功攻击+80</v>
      </c>
      <c r="F219" s="1" t="s">
        <v>14</v>
      </c>
      <c r="G219" s="1" t="s">
        <v>36</v>
      </c>
      <c r="J219" s="5" t="s">
        <v>22</v>
      </c>
      <c r="K219" s="5" t="s">
        <v>291</v>
      </c>
    </row>
    <row r="220" spans="1:11" x14ac:dyDescent="0.25">
      <c r="A220" s="1">
        <v>1050110</v>
      </c>
      <c r="B220" s="1">
        <v>105001</v>
      </c>
      <c r="C220" s="1">
        <v>7</v>
      </c>
      <c r="D220" s="1">
        <v>500</v>
      </c>
      <c r="E220" s="5" t="str">
        <f t="shared" si="22"/>
        <v>外功攻击+125;内功攻击+125</v>
      </c>
      <c r="F220" s="1" t="s">
        <v>14</v>
      </c>
      <c r="G220" s="1" t="s">
        <v>36</v>
      </c>
      <c r="J220" s="5" t="s">
        <v>23</v>
      </c>
      <c r="K220" s="5" t="s">
        <v>292</v>
      </c>
    </row>
    <row r="221" spans="1:11" x14ac:dyDescent="0.25">
      <c r="A221" s="1">
        <f>A220+1</f>
        <v>1050111</v>
      </c>
      <c r="B221" s="1">
        <f>B220</f>
        <v>105001</v>
      </c>
      <c r="C221" s="1">
        <f>C220+1</f>
        <v>8</v>
      </c>
      <c r="D221" s="1">
        <f>D220*2</f>
        <v>1000</v>
      </c>
      <c r="E221" s="5" t="str">
        <f t="shared" si="22"/>
        <v>外功攻击+249;内功攻击+249</v>
      </c>
      <c r="F221" s="1" t="str">
        <f t="shared" ref="F221:G223" si="27">F220</f>
        <v>1+0;</v>
      </c>
      <c r="G221" s="1" t="str">
        <f t="shared" si="27"/>
        <v>悲遮扇法</v>
      </c>
      <c r="J221" s="5" t="s">
        <v>284</v>
      </c>
      <c r="K221" s="5" t="s">
        <v>293</v>
      </c>
    </row>
    <row r="222" spans="1:11" x14ac:dyDescent="0.25">
      <c r="A222" s="1">
        <f>A221+1</f>
        <v>1050112</v>
      </c>
      <c r="B222" s="1">
        <f>B221</f>
        <v>105001</v>
      </c>
      <c r="C222" s="1">
        <f>C221+1</f>
        <v>9</v>
      </c>
      <c r="D222" s="1">
        <f>D221+100</f>
        <v>1100</v>
      </c>
      <c r="E222" s="5" t="str">
        <f t="shared" si="22"/>
        <v>外功攻击+403;内功攻击+403</v>
      </c>
      <c r="F222" s="1" t="str">
        <f t="shared" si="27"/>
        <v>1+0;</v>
      </c>
      <c r="G222" s="1" t="str">
        <f t="shared" si="27"/>
        <v>悲遮扇法</v>
      </c>
      <c r="J222" s="5" t="s">
        <v>285</v>
      </c>
      <c r="K222" s="5" t="s">
        <v>294</v>
      </c>
    </row>
    <row r="223" spans="1:11" x14ac:dyDescent="0.25">
      <c r="A223" s="1">
        <f>A222+1</f>
        <v>1050113</v>
      </c>
      <c r="B223" s="1">
        <f>B222</f>
        <v>105001</v>
      </c>
      <c r="C223" s="1">
        <f>C222+1</f>
        <v>10</v>
      </c>
      <c r="D223" s="1">
        <f>D222+100</f>
        <v>1200</v>
      </c>
      <c r="E223" s="5" t="str">
        <f t="shared" si="22"/>
        <v>外功攻击+503;内功攻击+503</v>
      </c>
      <c r="F223" s="1" t="str">
        <f t="shared" si="27"/>
        <v>1+0;</v>
      </c>
      <c r="G223" s="1" t="str">
        <f t="shared" si="27"/>
        <v>悲遮扇法</v>
      </c>
      <c r="J223" s="5" t="s">
        <v>308</v>
      </c>
      <c r="K223" s="5" t="s">
        <v>309</v>
      </c>
    </row>
    <row r="224" spans="1:11" x14ac:dyDescent="0.25">
      <c r="A224" s="1">
        <v>1050201</v>
      </c>
      <c r="B224" s="1">
        <v>105002</v>
      </c>
      <c r="C224" s="1">
        <v>1</v>
      </c>
      <c r="D224" s="1">
        <v>0</v>
      </c>
      <c r="E224" s="5">
        <f t="shared" si="22"/>
        <v>0</v>
      </c>
      <c r="F224" s="1" t="s">
        <v>14</v>
      </c>
      <c r="G224" s="1" t="s">
        <v>37</v>
      </c>
      <c r="J224" s="5">
        <v>0</v>
      </c>
      <c r="K224" s="5">
        <v>0</v>
      </c>
    </row>
    <row r="225" spans="1:11" x14ac:dyDescent="0.25">
      <c r="A225" s="1">
        <v>1050202</v>
      </c>
      <c r="B225" s="1">
        <v>105002</v>
      </c>
      <c r="C225" s="1">
        <v>1</v>
      </c>
      <c r="D225" s="1">
        <v>10</v>
      </c>
      <c r="E225" s="5" t="str">
        <f t="shared" si="22"/>
        <v>外功攻击+3;内功攻击+3</v>
      </c>
      <c r="F225" s="1" t="s">
        <v>14</v>
      </c>
      <c r="G225" s="1" t="s">
        <v>37</v>
      </c>
      <c r="J225" s="5" t="s">
        <v>16</v>
      </c>
      <c r="K225" s="5" t="s">
        <v>286</v>
      </c>
    </row>
    <row r="226" spans="1:11" x14ac:dyDescent="0.25">
      <c r="A226" s="1">
        <v>1050203</v>
      </c>
      <c r="B226" s="1">
        <v>105002</v>
      </c>
      <c r="C226" s="1">
        <v>1</v>
      </c>
      <c r="D226" s="1">
        <v>0</v>
      </c>
      <c r="E226" s="5">
        <f t="shared" si="22"/>
        <v>0</v>
      </c>
      <c r="F226" s="1" t="s">
        <v>14</v>
      </c>
      <c r="G226" s="1" t="s">
        <v>37</v>
      </c>
      <c r="J226" s="5">
        <v>0</v>
      </c>
      <c r="K226" s="5">
        <v>0</v>
      </c>
    </row>
    <row r="227" spans="1:11" x14ac:dyDescent="0.25">
      <c r="A227" s="1">
        <v>1050204</v>
      </c>
      <c r="B227" s="1">
        <v>105002</v>
      </c>
      <c r="C227" s="1">
        <v>2</v>
      </c>
      <c r="D227" s="1">
        <v>50</v>
      </c>
      <c r="E227" s="5" t="str">
        <f t="shared" si="22"/>
        <v>外功攻击+5;内功攻击+5</v>
      </c>
      <c r="F227" s="1" t="s">
        <v>14</v>
      </c>
      <c r="G227" s="1" t="s">
        <v>37</v>
      </c>
      <c r="J227" s="5" t="s">
        <v>18</v>
      </c>
      <c r="K227" s="5" t="s">
        <v>287</v>
      </c>
    </row>
    <row r="228" spans="1:11" x14ac:dyDescent="0.25">
      <c r="A228" s="1">
        <v>1050205</v>
      </c>
      <c r="B228" s="1">
        <v>105002</v>
      </c>
      <c r="C228" s="1">
        <v>1</v>
      </c>
      <c r="D228" s="1">
        <v>0</v>
      </c>
      <c r="E228" s="5">
        <f t="shared" si="22"/>
        <v>0</v>
      </c>
      <c r="F228" s="1" t="s">
        <v>14</v>
      </c>
      <c r="G228" s="1" t="s">
        <v>37</v>
      </c>
      <c r="J228" s="5">
        <v>0</v>
      </c>
      <c r="K228" s="5">
        <v>0</v>
      </c>
    </row>
    <row r="229" spans="1:11" x14ac:dyDescent="0.25">
      <c r="A229" s="1">
        <v>1050206</v>
      </c>
      <c r="B229" s="1">
        <v>105002</v>
      </c>
      <c r="C229" s="1">
        <v>3</v>
      </c>
      <c r="D229" s="1">
        <v>100</v>
      </c>
      <c r="E229" s="5" t="str">
        <f t="shared" si="22"/>
        <v>外功攻击+27;内功攻击+27</v>
      </c>
      <c r="F229" s="1" t="s">
        <v>14</v>
      </c>
      <c r="G229" s="1" t="s">
        <v>37</v>
      </c>
      <c r="J229" s="5" t="s">
        <v>19</v>
      </c>
      <c r="K229" s="5" t="s">
        <v>288</v>
      </c>
    </row>
    <row r="230" spans="1:11" x14ac:dyDescent="0.25">
      <c r="A230" s="1">
        <v>1050207</v>
      </c>
      <c r="B230" s="1">
        <v>105002</v>
      </c>
      <c r="C230" s="1">
        <v>4</v>
      </c>
      <c r="D230" s="1">
        <v>200</v>
      </c>
      <c r="E230" s="5" t="str">
        <f t="shared" si="22"/>
        <v>外功攻击+30;内功攻击+30</v>
      </c>
      <c r="F230" s="1" t="s">
        <v>14</v>
      </c>
      <c r="G230" s="1" t="s">
        <v>37</v>
      </c>
      <c r="J230" s="5" t="s">
        <v>20</v>
      </c>
      <c r="K230" s="5" t="s">
        <v>289</v>
      </c>
    </row>
    <row r="231" spans="1:11" x14ac:dyDescent="0.25">
      <c r="A231" s="1">
        <v>1050208</v>
      </c>
      <c r="B231" s="1">
        <v>105002</v>
      </c>
      <c r="C231" s="1">
        <v>5</v>
      </c>
      <c r="D231" s="1">
        <v>300</v>
      </c>
      <c r="E231" s="5" t="str">
        <f t="shared" si="22"/>
        <v>外功攻击+55;内功攻击+55</v>
      </c>
      <c r="F231" s="1" t="s">
        <v>14</v>
      </c>
      <c r="G231" s="1" t="s">
        <v>37</v>
      </c>
      <c r="J231" s="5" t="s">
        <v>21</v>
      </c>
      <c r="K231" s="5" t="s">
        <v>290</v>
      </c>
    </row>
    <row r="232" spans="1:11" x14ac:dyDescent="0.25">
      <c r="A232" s="1">
        <v>1050209</v>
      </c>
      <c r="B232" s="1">
        <v>105002</v>
      </c>
      <c r="C232" s="1">
        <v>6</v>
      </c>
      <c r="D232" s="1">
        <v>400</v>
      </c>
      <c r="E232" s="5" t="str">
        <f t="shared" si="22"/>
        <v>外功攻击+80;内功攻击+80</v>
      </c>
      <c r="F232" s="1" t="s">
        <v>14</v>
      </c>
      <c r="G232" s="1" t="s">
        <v>37</v>
      </c>
      <c r="J232" s="5" t="s">
        <v>22</v>
      </c>
      <c r="K232" s="5" t="s">
        <v>291</v>
      </c>
    </row>
    <row r="233" spans="1:11" x14ac:dyDescent="0.25">
      <c r="A233" s="1">
        <v>1050210</v>
      </c>
      <c r="B233" s="1">
        <v>105002</v>
      </c>
      <c r="C233" s="1">
        <v>7</v>
      </c>
      <c r="D233" s="1">
        <v>500</v>
      </c>
      <c r="E233" s="5" t="str">
        <f t="shared" si="22"/>
        <v>外功攻击+125;内功攻击+125</v>
      </c>
      <c r="F233" s="1" t="s">
        <v>14</v>
      </c>
      <c r="G233" s="1" t="s">
        <v>37</v>
      </c>
      <c r="J233" s="5" t="s">
        <v>23</v>
      </c>
      <c r="K233" s="5" t="s">
        <v>292</v>
      </c>
    </row>
    <row r="234" spans="1:11" x14ac:dyDescent="0.25">
      <c r="A234" s="1">
        <f>A233+1</f>
        <v>1050211</v>
      </c>
      <c r="B234" s="1">
        <f>B233</f>
        <v>105002</v>
      </c>
      <c r="C234" s="1">
        <f>C233+1</f>
        <v>8</v>
      </c>
      <c r="D234" s="1">
        <f>D233*2</f>
        <v>1000</v>
      </c>
      <c r="E234" s="5" t="str">
        <f t="shared" si="22"/>
        <v>外功攻击+249;内功攻击+249</v>
      </c>
      <c r="F234" s="1" t="str">
        <f t="shared" ref="F234:G236" si="28">F233</f>
        <v>1+0;</v>
      </c>
      <c r="G234" s="1" t="str">
        <f t="shared" si="28"/>
        <v>小周天扇法</v>
      </c>
      <c r="J234" s="5" t="s">
        <v>284</v>
      </c>
      <c r="K234" s="5" t="s">
        <v>293</v>
      </c>
    </row>
    <row r="235" spans="1:11" x14ac:dyDescent="0.25">
      <c r="A235" s="1">
        <f>A234+1</f>
        <v>1050212</v>
      </c>
      <c r="B235" s="1">
        <f>B234</f>
        <v>105002</v>
      </c>
      <c r="C235" s="1">
        <f>C234+1</f>
        <v>9</v>
      </c>
      <c r="D235" s="1">
        <f>D234+100</f>
        <v>1100</v>
      </c>
      <c r="E235" s="5" t="str">
        <f t="shared" si="22"/>
        <v>外功攻击+403;内功攻击+403</v>
      </c>
      <c r="F235" s="1" t="str">
        <f t="shared" si="28"/>
        <v>1+0;</v>
      </c>
      <c r="G235" s="1" t="str">
        <f t="shared" si="28"/>
        <v>小周天扇法</v>
      </c>
      <c r="J235" s="5" t="s">
        <v>285</v>
      </c>
      <c r="K235" s="5" t="s">
        <v>294</v>
      </c>
    </row>
    <row r="236" spans="1:11" x14ac:dyDescent="0.25">
      <c r="A236" s="1">
        <f>A235+1</f>
        <v>1050213</v>
      </c>
      <c r="B236" s="1">
        <f>B235</f>
        <v>105002</v>
      </c>
      <c r="C236" s="1">
        <f>C235+1</f>
        <v>10</v>
      </c>
      <c r="D236" s="1">
        <f>D235+100</f>
        <v>1200</v>
      </c>
      <c r="E236" s="5" t="str">
        <f t="shared" ref="E236" si="29">IF(J236=0,J236,J236&amp;";"&amp;K236)</f>
        <v>外功攻击+503;内功攻击+503</v>
      </c>
      <c r="F236" s="1" t="str">
        <f t="shared" si="28"/>
        <v>1+0;</v>
      </c>
      <c r="G236" s="1" t="str">
        <f t="shared" si="28"/>
        <v>小周天扇法</v>
      </c>
      <c r="J236" s="5" t="s">
        <v>308</v>
      </c>
      <c r="K236" s="5" t="s">
        <v>309</v>
      </c>
    </row>
    <row r="237" spans="1:11" x14ac:dyDescent="0.25">
      <c r="A237" s="1">
        <v>1060101</v>
      </c>
      <c r="B237" s="1">
        <v>106001</v>
      </c>
      <c r="C237" s="1">
        <v>1</v>
      </c>
      <c r="D237" s="1">
        <v>0</v>
      </c>
      <c r="E237" s="5">
        <f t="shared" si="22"/>
        <v>0</v>
      </c>
      <c r="F237" s="1" t="s">
        <v>14</v>
      </c>
      <c r="G237" s="1" t="s">
        <v>38</v>
      </c>
      <c r="J237" s="5">
        <v>0</v>
      </c>
      <c r="K237" s="5">
        <v>0</v>
      </c>
    </row>
    <row r="238" spans="1:11" x14ac:dyDescent="0.25">
      <c r="A238" s="1">
        <v>1060102</v>
      </c>
      <c r="B238" s="1">
        <v>106001</v>
      </c>
      <c r="C238" s="1">
        <v>1</v>
      </c>
      <c r="D238" s="1">
        <v>10</v>
      </c>
      <c r="E238" s="5" t="str">
        <f t="shared" si="22"/>
        <v>外功攻击+3;内功攻击+3</v>
      </c>
      <c r="F238" s="1" t="s">
        <v>14</v>
      </c>
      <c r="G238" s="1" t="s">
        <v>38</v>
      </c>
      <c r="J238" s="5" t="s">
        <v>16</v>
      </c>
      <c r="K238" s="5" t="s">
        <v>286</v>
      </c>
    </row>
    <row r="239" spans="1:11" x14ac:dyDescent="0.25">
      <c r="A239" s="1">
        <v>1060103</v>
      </c>
      <c r="B239" s="1">
        <v>106001</v>
      </c>
      <c r="C239" s="1">
        <v>1</v>
      </c>
      <c r="D239" s="1">
        <v>0</v>
      </c>
      <c r="E239" s="5">
        <f t="shared" si="22"/>
        <v>0</v>
      </c>
      <c r="F239" s="1" t="s">
        <v>14</v>
      </c>
      <c r="G239" s="1" t="s">
        <v>38</v>
      </c>
      <c r="J239" s="5">
        <v>0</v>
      </c>
      <c r="K239" s="5">
        <v>0</v>
      </c>
    </row>
    <row r="240" spans="1:11" x14ac:dyDescent="0.25">
      <c r="A240" s="1">
        <v>1060104</v>
      </c>
      <c r="B240" s="1">
        <v>106001</v>
      </c>
      <c r="C240" s="1">
        <v>2</v>
      </c>
      <c r="D240" s="1">
        <v>50</v>
      </c>
      <c r="E240" s="5" t="str">
        <f t="shared" si="22"/>
        <v>外功攻击+5;内功攻击+5</v>
      </c>
      <c r="F240" s="1" t="s">
        <v>14</v>
      </c>
      <c r="G240" s="1" t="s">
        <v>38</v>
      </c>
      <c r="J240" s="5" t="s">
        <v>18</v>
      </c>
      <c r="K240" s="5" t="s">
        <v>287</v>
      </c>
    </row>
    <row r="241" spans="1:11" x14ac:dyDescent="0.25">
      <c r="A241" s="1">
        <v>1060105</v>
      </c>
      <c r="B241" s="1">
        <v>106001</v>
      </c>
      <c r="C241" s="1">
        <v>1</v>
      </c>
      <c r="D241" s="1">
        <v>0</v>
      </c>
      <c r="E241" s="5">
        <f t="shared" si="22"/>
        <v>0</v>
      </c>
      <c r="F241" s="1" t="s">
        <v>14</v>
      </c>
      <c r="G241" s="1" t="s">
        <v>38</v>
      </c>
      <c r="J241" s="5">
        <v>0</v>
      </c>
      <c r="K241" s="5">
        <v>0</v>
      </c>
    </row>
    <row r="242" spans="1:11" x14ac:dyDescent="0.25">
      <c r="A242" s="1">
        <v>1060106</v>
      </c>
      <c r="B242" s="1">
        <v>106001</v>
      </c>
      <c r="C242" s="1">
        <v>3</v>
      </c>
      <c r="D242" s="1">
        <v>100</v>
      </c>
      <c r="E242" s="5" t="str">
        <f t="shared" si="22"/>
        <v>外功攻击+27;内功攻击+27</v>
      </c>
      <c r="F242" s="1" t="s">
        <v>14</v>
      </c>
      <c r="G242" s="1" t="s">
        <v>38</v>
      </c>
      <c r="J242" s="5" t="s">
        <v>19</v>
      </c>
      <c r="K242" s="5" t="s">
        <v>288</v>
      </c>
    </row>
    <row r="243" spans="1:11" x14ac:dyDescent="0.25">
      <c r="A243" s="1">
        <v>1060107</v>
      </c>
      <c r="B243" s="1">
        <v>106001</v>
      </c>
      <c r="C243" s="1">
        <v>4</v>
      </c>
      <c r="D243" s="1">
        <v>200</v>
      </c>
      <c r="E243" s="5" t="str">
        <f t="shared" si="22"/>
        <v>外功攻击+30;内功攻击+30</v>
      </c>
      <c r="F243" s="1" t="s">
        <v>14</v>
      </c>
      <c r="G243" s="1" t="s">
        <v>38</v>
      </c>
      <c r="J243" s="5" t="s">
        <v>20</v>
      </c>
      <c r="K243" s="5" t="s">
        <v>289</v>
      </c>
    </row>
    <row r="244" spans="1:11" x14ac:dyDescent="0.25">
      <c r="A244" s="1">
        <v>1060108</v>
      </c>
      <c r="B244" s="1">
        <v>106001</v>
      </c>
      <c r="C244" s="1">
        <v>5</v>
      </c>
      <c r="D244" s="1">
        <v>300</v>
      </c>
      <c r="E244" s="5" t="str">
        <f t="shared" si="22"/>
        <v>外功攻击+55;内功攻击+55</v>
      </c>
      <c r="F244" s="1" t="s">
        <v>14</v>
      </c>
      <c r="G244" s="1" t="s">
        <v>38</v>
      </c>
      <c r="J244" s="5" t="s">
        <v>21</v>
      </c>
      <c r="K244" s="5" t="s">
        <v>290</v>
      </c>
    </row>
    <row r="245" spans="1:11" x14ac:dyDescent="0.25">
      <c r="A245" s="1">
        <v>1060109</v>
      </c>
      <c r="B245" s="1">
        <v>106001</v>
      </c>
      <c r="C245" s="1">
        <v>6</v>
      </c>
      <c r="D245" s="1">
        <v>400</v>
      </c>
      <c r="E245" s="5" t="str">
        <f t="shared" si="22"/>
        <v>外功攻击+80;内功攻击+80</v>
      </c>
      <c r="F245" s="1" t="s">
        <v>14</v>
      </c>
      <c r="G245" s="1" t="s">
        <v>38</v>
      </c>
      <c r="J245" s="5" t="s">
        <v>22</v>
      </c>
      <c r="K245" s="5" t="s">
        <v>291</v>
      </c>
    </row>
    <row r="246" spans="1:11" x14ac:dyDescent="0.25">
      <c r="A246" s="1">
        <v>1060110</v>
      </c>
      <c r="B246" s="1">
        <v>106001</v>
      </c>
      <c r="C246" s="1">
        <v>7</v>
      </c>
      <c r="D246" s="1">
        <v>500</v>
      </c>
      <c r="E246" s="5" t="str">
        <f t="shared" si="22"/>
        <v>外功攻击+125;内功攻击+125</v>
      </c>
      <c r="F246" s="1" t="s">
        <v>14</v>
      </c>
      <c r="G246" s="1" t="s">
        <v>38</v>
      </c>
      <c r="J246" s="5" t="s">
        <v>23</v>
      </c>
      <c r="K246" s="5" t="s">
        <v>292</v>
      </c>
    </row>
    <row r="247" spans="1:11" x14ac:dyDescent="0.25">
      <c r="A247" s="1">
        <f>A246+1</f>
        <v>1060111</v>
      </c>
      <c r="B247" s="1">
        <f>B246</f>
        <v>106001</v>
      </c>
      <c r="C247" s="1">
        <f>C246+1</f>
        <v>8</v>
      </c>
      <c r="D247" s="1">
        <f>D246*2</f>
        <v>1000</v>
      </c>
      <c r="E247" s="5" t="str">
        <f t="shared" si="22"/>
        <v>外功攻击+249;内功攻击+249</v>
      </c>
      <c r="F247" s="1" t="str">
        <f t="shared" ref="F247:G249" si="30">F246</f>
        <v>1+0;</v>
      </c>
      <c r="G247" s="1" t="str">
        <f t="shared" si="30"/>
        <v>暴雨梨花刀</v>
      </c>
      <c r="J247" s="5" t="s">
        <v>284</v>
      </c>
      <c r="K247" s="5" t="s">
        <v>293</v>
      </c>
    </row>
    <row r="248" spans="1:11" x14ac:dyDescent="0.25">
      <c r="A248" s="1">
        <f>A247+1</f>
        <v>1060112</v>
      </c>
      <c r="B248" s="1">
        <f>B247</f>
        <v>106001</v>
      </c>
      <c r="C248" s="1">
        <f>C247+1</f>
        <v>9</v>
      </c>
      <c r="D248" s="1">
        <f>D247+100</f>
        <v>1100</v>
      </c>
      <c r="E248" s="5" t="str">
        <f t="shared" si="22"/>
        <v>外功攻击+403;内功攻击+403</v>
      </c>
      <c r="F248" s="1" t="str">
        <f t="shared" si="30"/>
        <v>1+0;</v>
      </c>
      <c r="G248" s="1" t="str">
        <f t="shared" si="30"/>
        <v>暴雨梨花刀</v>
      </c>
      <c r="J248" s="5" t="s">
        <v>285</v>
      </c>
      <c r="K248" s="5" t="s">
        <v>294</v>
      </c>
    </row>
    <row r="249" spans="1:11" x14ac:dyDescent="0.25">
      <c r="A249" s="1">
        <f>A248+1</f>
        <v>1060113</v>
      </c>
      <c r="B249" s="1">
        <f>B248</f>
        <v>106001</v>
      </c>
      <c r="C249" s="1">
        <f>C248+1</f>
        <v>10</v>
      </c>
      <c r="D249" s="1">
        <f>D248+100</f>
        <v>1200</v>
      </c>
      <c r="E249" s="5" t="str">
        <f t="shared" si="22"/>
        <v>外功攻击+503;内功攻击+503</v>
      </c>
      <c r="F249" s="1" t="str">
        <f t="shared" si="30"/>
        <v>1+0;</v>
      </c>
      <c r="G249" s="1" t="str">
        <f t="shared" si="30"/>
        <v>暴雨梨花刀</v>
      </c>
      <c r="J249" s="5" t="s">
        <v>308</v>
      </c>
      <c r="K249" s="5" t="s">
        <v>309</v>
      </c>
    </row>
    <row r="250" spans="1:11" x14ac:dyDescent="0.25">
      <c r="A250" s="1">
        <v>1060201</v>
      </c>
      <c r="B250" s="1">
        <v>106002</v>
      </c>
      <c r="C250" s="1">
        <v>1</v>
      </c>
      <c r="D250" s="1">
        <v>0</v>
      </c>
      <c r="E250" s="5">
        <f t="shared" ref="E250:E262" si="31">IF(J250=0,J250,J250&amp;";"&amp;K250)</f>
        <v>0</v>
      </c>
      <c r="F250" s="1" t="s">
        <v>14</v>
      </c>
      <c r="G250" s="44" t="s">
        <v>364</v>
      </c>
      <c r="H250" s="44" t="s">
        <v>365</v>
      </c>
      <c r="J250" s="5">
        <v>0</v>
      </c>
      <c r="K250" s="5">
        <v>0</v>
      </c>
    </row>
    <row r="251" spans="1:11" x14ac:dyDescent="0.25">
      <c r="A251" s="1">
        <v>1060202</v>
      </c>
      <c r="B251" s="1">
        <v>106002</v>
      </c>
      <c r="C251" s="1">
        <v>1</v>
      </c>
      <c r="D251" s="1">
        <v>10</v>
      </c>
      <c r="E251" s="5" t="str">
        <f t="shared" si="31"/>
        <v>外功攻击+3;内功攻击+3</v>
      </c>
      <c r="F251" s="1" t="s">
        <v>14</v>
      </c>
      <c r="G251" s="45" t="s">
        <v>364</v>
      </c>
      <c r="H251" s="44" t="s">
        <v>366</v>
      </c>
      <c r="J251" s="5" t="s">
        <v>16</v>
      </c>
      <c r="K251" s="5" t="s">
        <v>286</v>
      </c>
    </row>
    <row r="252" spans="1:11" x14ac:dyDescent="0.25">
      <c r="A252" s="1">
        <v>1060203</v>
      </c>
      <c r="B252" s="1">
        <v>106002</v>
      </c>
      <c r="C252" s="1">
        <v>1</v>
      </c>
      <c r="D252" s="1">
        <v>0</v>
      </c>
      <c r="E252" s="5">
        <f t="shared" si="31"/>
        <v>0</v>
      </c>
      <c r="F252" s="1" t="s">
        <v>14</v>
      </c>
      <c r="G252" s="45" t="s">
        <v>364</v>
      </c>
      <c r="H252" s="44" t="s">
        <v>367</v>
      </c>
      <c r="J252" s="5">
        <v>0</v>
      </c>
      <c r="K252" s="5">
        <v>0</v>
      </c>
    </row>
    <row r="253" spans="1:11" x14ac:dyDescent="0.25">
      <c r="A253" s="1">
        <v>1060204</v>
      </c>
      <c r="B253" s="1">
        <v>106002</v>
      </c>
      <c r="C253" s="1">
        <v>2</v>
      </c>
      <c r="D253" s="1">
        <v>50</v>
      </c>
      <c r="E253" s="5" t="str">
        <f t="shared" si="31"/>
        <v>外功攻击+5;内功攻击+5</v>
      </c>
      <c r="F253" s="1" t="s">
        <v>14</v>
      </c>
      <c r="G253" s="45" t="s">
        <v>364</v>
      </c>
      <c r="H253" s="44" t="s">
        <v>368</v>
      </c>
      <c r="J253" s="5" t="s">
        <v>18</v>
      </c>
      <c r="K253" s="5" t="s">
        <v>287</v>
      </c>
    </row>
    <row r="254" spans="1:11" x14ac:dyDescent="0.25">
      <c r="A254" s="1">
        <v>1060205</v>
      </c>
      <c r="B254" s="1">
        <v>106002</v>
      </c>
      <c r="C254" s="1">
        <v>1</v>
      </c>
      <c r="D254" s="1">
        <v>0</v>
      </c>
      <c r="E254" s="5">
        <f t="shared" si="31"/>
        <v>0</v>
      </c>
      <c r="F254" s="1" t="s">
        <v>14</v>
      </c>
      <c r="G254" s="45" t="s">
        <v>364</v>
      </c>
      <c r="H254" s="44" t="s">
        <v>369</v>
      </c>
      <c r="J254" s="5">
        <v>0</v>
      </c>
      <c r="K254" s="5">
        <v>0</v>
      </c>
    </row>
    <row r="255" spans="1:11" x14ac:dyDescent="0.25">
      <c r="A255" s="1">
        <v>1060206</v>
      </c>
      <c r="B255" s="1">
        <v>106002</v>
      </c>
      <c r="C255" s="1">
        <v>3</v>
      </c>
      <c r="D255" s="1">
        <v>100</v>
      </c>
      <c r="E255" s="5" t="str">
        <f t="shared" si="31"/>
        <v>外功攻击+27;内功攻击+27</v>
      </c>
      <c r="F255" s="1" t="s">
        <v>14</v>
      </c>
      <c r="G255" s="45" t="s">
        <v>364</v>
      </c>
      <c r="H255" s="44" t="s">
        <v>370</v>
      </c>
      <c r="J255" s="5" t="s">
        <v>19</v>
      </c>
      <c r="K255" s="5" t="s">
        <v>288</v>
      </c>
    </row>
    <row r="256" spans="1:11" x14ac:dyDescent="0.25">
      <c r="A256" s="1">
        <v>1060207</v>
      </c>
      <c r="B256" s="1">
        <v>106002</v>
      </c>
      <c r="C256" s="1">
        <v>4</v>
      </c>
      <c r="D256" s="1">
        <v>200</v>
      </c>
      <c r="E256" s="5" t="str">
        <f t="shared" si="31"/>
        <v>外功攻击+30;内功攻击+30</v>
      </c>
      <c r="F256" s="1" t="s">
        <v>14</v>
      </c>
      <c r="G256" s="45" t="s">
        <v>364</v>
      </c>
      <c r="H256" s="44" t="s">
        <v>371</v>
      </c>
      <c r="J256" s="5" t="s">
        <v>20</v>
      </c>
      <c r="K256" s="5" t="s">
        <v>289</v>
      </c>
    </row>
    <row r="257" spans="1:11" x14ac:dyDescent="0.25">
      <c r="A257" s="1">
        <v>1060208</v>
      </c>
      <c r="B257" s="1">
        <v>106002</v>
      </c>
      <c r="C257" s="1">
        <v>5</v>
      </c>
      <c r="D257" s="1">
        <v>300</v>
      </c>
      <c r="E257" s="5" t="str">
        <f t="shared" si="31"/>
        <v>外功攻击+55;内功攻击+55</v>
      </c>
      <c r="F257" s="1" t="s">
        <v>14</v>
      </c>
      <c r="G257" s="45" t="s">
        <v>364</v>
      </c>
      <c r="H257" s="44" t="s">
        <v>372</v>
      </c>
      <c r="J257" s="5" t="s">
        <v>21</v>
      </c>
      <c r="K257" s="5" t="s">
        <v>290</v>
      </c>
    </row>
    <row r="258" spans="1:11" x14ac:dyDescent="0.25">
      <c r="A258" s="1">
        <v>1060209</v>
      </c>
      <c r="B258" s="1">
        <v>106002</v>
      </c>
      <c r="C258" s="1">
        <v>6</v>
      </c>
      <c r="D258" s="1">
        <v>400</v>
      </c>
      <c r="E258" s="5" t="str">
        <f t="shared" si="31"/>
        <v>外功攻击+80;内功攻击+80</v>
      </c>
      <c r="F258" s="1" t="s">
        <v>14</v>
      </c>
      <c r="G258" s="45" t="s">
        <v>364</v>
      </c>
      <c r="H258" s="44" t="s">
        <v>373</v>
      </c>
      <c r="J258" s="5" t="s">
        <v>22</v>
      </c>
      <c r="K258" s="5" t="s">
        <v>291</v>
      </c>
    </row>
    <row r="259" spans="1:11" x14ac:dyDescent="0.25">
      <c r="A259" s="1">
        <v>1060210</v>
      </c>
      <c r="B259" s="1">
        <v>106002</v>
      </c>
      <c r="C259" s="1">
        <v>7</v>
      </c>
      <c r="D259" s="1">
        <v>500</v>
      </c>
      <c r="E259" s="5" t="str">
        <f t="shared" si="31"/>
        <v>外功攻击+125;内功攻击+125</v>
      </c>
      <c r="F259" s="1" t="s">
        <v>14</v>
      </c>
      <c r="G259" s="45" t="s">
        <v>364</v>
      </c>
      <c r="H259" s="44" t="s">
        <v>374</v>
      </c>
      <c r="J259" s="5" t="s">
        <v>23</v>
      </c>
      <c r="K259" s="5" t="s">
        <v>292</v>
      </c>
    </row>
    <row r="260" spans="1:11" x14ac:dyDescent="0.25">
      <c r="A260" s="1">
        <v>1060211</v>
      </c>
      <c r="B260" s="1">
        <v>106002</v>
      </c>
      <c r="C260" s="1">
        <f>C259+1</f>
        <v>8</v>
      </c>
      <c r="D260" s="1">
        <f>D259*2</f>
        <v>1000</v>
      </c>
      <c r="E260" s="5" t="str">
        <f t="shared" si="31"/>
        <v>外功攻击+249;内功攻击+249</v>
      </c>
      <c r="F260" s="1" t="str">
        <f t="shared" ref="F260:F262" si="32">F259</f>
        <v>1+0;</v>
      </c>
      <c r="G260" s="1" t="s">
        <v>364</v>
      </c>
      <c r="H260" s="39" t="s">
        <v>375</v>
      </c>
      <c r="J260" s="5" t="s">
        <v>284</v>
      </c>
      <c r="K260" s="5" t="s">
        <v>293</v>
      </c>
    </row>
    <row r="261" spans="1:11" x14ac:dyDescent="0.25">
      <c r="A261" s="1">
        <v>1060212</v>
      </c>
      <c r="B261" s="1">
        <v>106002</v>
      </c>
      <c r="C261" s="1">
        <f>C260+1</f>
        <v>9</v>
      </c>
      <c r="D261" s="1">
        <f>D260+100</f>
        <v>1100</v>
      </c>
      <c r="E261" s="5" t="str">
        <f t="shared" si="31"/>
        <v>外功攻击+403;内功攻击+403</v>
      </c>
      <c r="F261" s="1" t="str">
        <f t="shared" si="32"/>
        <v>1+0;</v>
      </c>
      <c r="G261" s="1" t="s">
        <v>364</v>
      </c>
      <c r="H261" s="39" t="s">
        <v>376</v>
      </c>
      <c r="J261" s="5" t="s">
        <v>285</v>
      </c>
      <c r="K261" s="5" t="s">
        <v>294</v>
      </c>
    </row>
    <row r="262" spans="1:11" x14ac:dyDescent="0.25">
      <c r="A262" s="1">
        <v>1060213</v>
      </c>
      <c r="B262" s="1">
        <v>106002</v>
      </c>
      <c r="C262" s="1">
        <f>C261+1</f>
        <v>10</v>
      </c>
      <c r="D262" s="1">
        <f>D261+100</f>
        <v>1200</v>
      </c>
      <c r="E262" s="5" t="str">
        <f t="shared" si="31"/>
        <v>外功攻击+503;内功攻击+503</v>
      </c>
      <c r="F262" s="1" t="str">
        <f t="shared" si="32"/>
        <v>1+0;</v>
      </c>
      <c r="G262" s="1" t="s">
        <v>364</v>
      </c>
      <c r="H262" s="39" t="s">
        <v>377</v>
      </c>
      <c r="J262" s="5" t="s">
        <v>308</v>
      </c>
      <c r="K262" s="5" t="s">
        <v>309</v>
      </c>
    </row>
    <row r="263" spans="1:11" x14ac:dyDescent="0.25">
      <c r="A263" s="7">
        <v>1090101</v>
      </c>
      <c r="B263" s="1">
        <v>109001</v>
      </c>
      <c r="C263" s="1">
        <v>1</v>
      </c>
      <c r="D263" s="1">
        <v>0</v>
      </c>
      <c r="E263" s="5">
        <f t="shared" si="22"/>
        <v>0</v>
      </c>
      <c r="F263" s="1" t="s">
        <v>14</v>
      </c>
      <c r="G263" s="1" t="s">
        <v>39</v>
      </c>
      <c r="J263" s="5">
        <v>0</v>
      </c>
      <c r="K263" s="5">
        <v>0</v>
      </c>
    </row>
    <row r="264" spans="1:11" x14ac:dyDescent="0.25">
      <c r="A264" s="7">
        <v>1090102</v>
      </c>
      <c r="B264" s="1">
        <v>109001</v>
      </c>
      <c r="C264" s="1">
        <v>1</v>
      </c>
      <c r="D264" s="1">
        <v>10</v>
      </c>
      <c r="E264" s="5" t="str">
        <f t="shared" si="22"/>
        <v>外功攻击+3;内功攻击+3</v>
      </c>
      <c r="F264" s="1" t="s">
        <v>14</v>
      </c>
      <c r="G264" s="1" t="s">
        <v>39</v>
      </c>
      <c r="J264" s="5" t="s">
        <v>16</v>
      </c>
      <c r="K264" s="5" t="s">
        <v>286</v>
      </c>
    </row>
    <row r="265" spans="1:11" x14ac:dyDescent="0.25">
      <c r="A265" s="7">
        <v>1090103</v>
      </c>
      <c r="B265" s="1">
        <v>109001</v>
      </c>
      <c r="C265" s="1">
        <v>1</v>
      </c>
      <c r="D265" s="1">
        <v>0</v>
      </c>
      <c r="E265" s="5">
        <f t="shared" si="22"/>
        <v>0</v>
      </c>
      <c r="F265" s="1" t="s">
        <v>14</v>
      </c>
      <c r="G265" s="1" t="s">
        <v>39</v>
      </c>
      <c r="J265" s="5">
        <v>0</v>
      </c>
      <c r="K265" s="5">
        <v>0</v>
      </c>
    </row>
    <row r="266" spans="1:11" x14ac:dyDescent="0.25">
      <c r="A266" s="7">
        <v>1090104</v>
      </c>
      <c r="B266" s="1">
        <v>109001</v>
      </c>
      <c r="C266" s="1">
        <v>2</v>
      </c>
      <c r="D266" s="1">
        <v>50</v>
      </c>
      <c r="E266" s="5" t="str">
        <f t="shared" si="22"/>
        <v>外功攻击+5;内功攻击+5</v>
      </c>
      <c r="F266" s="1" t="s">
        <v>14</v>
      </c>
      <c r="G266" s="1" t="s">
        <v>39</v>
      </c>
      <c r="J266" s="5" t="s">
        <v>18</v>
      </c>
      <c r="K266" s="5" t="s">
        <v>287</v>
      </c>
    </row>
    <row r="267" spans="1:11" x14ac:dyDescent="0.25">
      <c r="A267" s="7">
        <v>1090105</v>
      </c>
      <c r="B267" s="1">
        <v>109001</v>
      </c>
      <c r="C267" s="1">
        <v>1</v>
      </c>
      <c r="D267" s="1">
        <v>0</v>
      </c>
      <c r="E267" s="5">
        <f t="shared" si="22"/>
        <v>0</v>
      </c>
      <c r="F267" s="1" t="s">
        <v>14</v>
      </c>
      <c r="G267" s="1" t="s">
        <v>39</v>
      </c>
      <c r="J267" s="5">
        <v>0</v>
      </c>
      <c r="K267" s="5">
        <v>0</v>
      </c>
    </row>
    <row r="268" spans="1:11" x14ac:dyDescent="0.25">
      <c r="A268" s="7">
        <v>1090106</v>
      </c>
      <c r="B268" s="1">
        <v>109001</v>
      </c>
      <c r="C268" s="1">
        <v>3</v>
      </c>
      <c r="D268" s="1">
        <v>100</v>
      </c>
      <c r="E268" s="5" t="str">
        <f t="shared" si="22"/>
        <v>外功攻击+27;内功攻击+27</v>
      </c>
      <c r="F268" s="1" t="s">
        <v>14</v>
      </c>
      <c r="G268" s="1" t="s">
        <v>39</v>
      </c>
      <c r="J268" s="5" t="s">
        <v>19</v>
      </c>
      <c r="K268" s="5" t="s">
        <v>288</v>
      </c>
    </row>
    <row r="269" spans="1:11" x14ac:dyDescent="0.25">
      <c r="A269" s="7">
        <v>1090107</v>
      </c>
      <c r="B269" s="1">
        <v>109001</v>
      </c>
      <c r="C269" s="1">
        <v>4</v>
      </c>
      <c r="D269" s="1">
        <v>200</v>
      </c>
      <c r="E269" s="5" t="str">
        <f t="shared" si="22"/>
        <v>外功攻击+30;内功攻击+30</v>
      </c>
      <c r="F269" s="1" t="s">
        <v>14</v>
      </c>
      <c r="G269" s="1" t="s">
        <v>39</v>
      </c>
      <c r="J269" s="5" t="s">
        <v>20</v>
      </c>
      <c r="K269" s="5" t="s">
        <v>289</v>
      </c>
    </row>
    <row r="270" spans="1:11" x14ac:dyDescent="0.25">
      <c r="A270" s="7">
        <v>1090108</v>
      </c>
      <c r="B270" s="1">
        <v>109001</v>
      </c>
      <c r="C270" s="1">
        <v>5</v>
      </c>
      <c r="D270" s="1">
        <v>300</v>
      </c>
      <c r="E270" s="5" t="str">
        <f t="shared" si="22"/>
        <v>外功攻击+55;内功攻击+55</v>
      </c>
      <c r="F270" s="1" t="s">
        <v>14</v>
      </c>
      <c r="G270" s="1" t="s">
        <v>39</v>
      </c>
      <c r="J270" s="5" t="s">
        <v>21</v>
      </c>
      <c r="K270" s="5" t="s">
        <v>290</v>
      </c>
    </row>
    <row r="271" spans="1:11" x14ac:dyDescent="0.25">
      <c r="A271" s="7">
        <v>1090109</v>
      </c>
      <c r="B271" s="1">
        <v>109001</v>
      </c>
      <c r="C271" s="1">
        <v>6</v>
      </c>
      <c r="D271" s="1">
        <v>400</v>
      </c>
      <c r="E271" s="5" t="str">
        <f t="shared" si="22"/>
        <v>外功攻击+80;内功攻击+80</v>
      </c>
      <c r="F271" s="1" t="s">
        <v>14</v>
      </c>
      <c r="G271" s="1" t="s">
        <v>39</v>
      </c>
      <c r="J271" s="5" t="s">
        <v>22</v>
      </c>
      <c r="K271" s="5" t="s">
        <v>291</v>
      </c>
    </row>
    <row r="272" spans="1:11" x14ac:dyDescent="0.25">
      <c r="A272" s="7">
        <v>1090110</v>
      </c>
      <c r="B272" s="1">
        <v>109001</v>
      </c>
      <c r="C272" s="1">
        <v>7</v>
      </c>
      <c r="D272" s="1">
        <v>500</v>
      </c>
      <c r="E272" s="5" t="str">
        <f t="shared" si="22"/>
        <v>外功攻击+125;内功攻击+125</v>
      </c>
      <c r="F272" s="1" t="s">
        <v>14</v>
      </c>
      <c r="G272" s="1" t="s">
        <v>39</v>
      </c>
      <c r="J272" s="5" t="s">
        <v>23</v>
      </c>
      <c r="K272" s="5" t="s">
        <v>292</v>
      </c>
    </row>
    <row r="273" spans="1:11" x14ac:dyDescent="0.25">
      <c r="A273" s="1">
        <f>A272+1</f>
        <v>1090111</v>
      </c>
      <c r="B273" s="1">
        <f>B272</f>
        <v>109001</v>
      </c>
      <c r="C273" s="1">
        <f>C272+1</f>
        <v>8</v>
      </c>
      <c r="D273" s="1">
        <f>D272*2</f>
        <v>1000</v>
      </c>
      <c r="E273" s="5" t="str">
        <f t="shared" si="22"/>
        <v>外功攻击+249;内功攻击+249</v>
      </c>
      <c r="F273" s="1" t="str">
        <f t="shared" ref="F273:G275" si="33">F272</f>
        <v>1+0;</v>
      </c>
      <c r="G273" s="1" t="str">
        <f t="shared" si="33"/>
        <v>醉饮降龙无双式</v>
      </c>
      <c r="J273" s="5" t="s">
        <v>284</v>
      </c>
      <c r="K273" s="5" t="s">
        <v>293</v>
      </c>
    </row>
    <row r="274" spans="1:11" x14ac:dyDescent="0.25">
      <c r="A274" s="1">
        <f>A273+1</f>
        <v>1090112</v>
      </c>
      <c r="B274" s="1">
        <f>B273</f>
        <v>109001</v>
      </c>
      <c r="C274" s="1">
        <f>C273+1</f>
        <v>9</v>
      </c>
      <c r="D274" s="1">
        <f>D273+100</f>
        <v>1100</v>
      </c>
      <c r="E274" s="5" t="str">
        <f t="shared" si="22"/>
        <v>外功攻击+403;内功攻击+403</v>
      </c>
      <c r="F274" s="1" t="str">
        <f t="shared" si="33"/>
        <v>1+0;</v>
      </c>
      <c r="G274" s="1" t="str">
        <f t="shared" si="33"/>
        <v>醉饮降龙无双式</v>
      </c>
      <c r="J274" s="5" t="s">
        <v>285</v>
      </c>
      <c r="K274" s="5" t="s">
        <v>294</v>
      </c>
    </row>
    <row r="275" spans="1:11" x14ac:dyDescent="0.25">
      <c r="A275" s="1">
        <f>A274+1</f>
        <v>1090113</v>
      </c>
      <c r="B275" s="1">
        <f>B274</f>
        <v>109001</v>
      </c>
      <c r="C275" s="1">
        <f>C274+1</f>
        <v>10</v>
      </c>
      <c r="D275" s="1">
        <f>D274+100</f>
        <v>1200</v>
      </c>
      <c r="E275" s="5" t="str">
        <f t="shared" ref="E275" si="34">IF(J275=0,J275,J275&amp;";"&amp;K275)</f>
        <v>外功攻击+503;内功攻击+503</v>
      </c>
      <c r="F275" s="1" t="str">
        <f t="shared" si="33"/>
        <v>1+0;</v>
      </c>
      <c r="G275" s="1" t="str">
        <f t="shared" si="33"/>
        <v>醉饮降龙无双式</v>
      </c>
      <c r="J275" s="5" t="s">
        <v>308</v>
      </c>
      <c r="K275" s="5" t="s">
        <v>309</v>
      </c>
    </row>
    <row r="276" spans="1:11" x14ac:dyDescent="0.25">
      <c r="A276" s="7">
        <v>1090201</v>
      </c>
      <c r="B276" s="1">
        <v>109002</v>
      </c>
      <c r="C276" s="1">
        <v>1</v>
      </c>
      <c r="D276" s="1">
        <v>0</v>
      </c>
      <c r="E276" s="5">
        <f t="shared" si="22"/>
        <v>0</v>
      </c>
      <c r="F276" s="1" t="s">
        <v>14</v>
      </c>
      <c r="G276" s="1" t="s">
        <v>40</v>
      </c>
      <c r="J276" s="5">
        <v>0</v>
      </c>
      <c r="K276" s="5">
        <v>0</v>
      </c>
    </row>
    <row r="277" spans="1:11" x14ac:dyDescent="0.25">
      <c r="A277" s="7">
        <v>1090202</v>
      </c>
      <c r="B277" s="1">
        <v>109002</v>
      </c>
      <c r="C277" s="1">
        <v>1</v>
      </c>
      <c r="D277" s="1">
        <v>10</v>
      </c>
      <c r="E277" s="5" t="str">
        <f t="shared" ref="E277:E371" si="35">IF(J277=0,J277,J277&amp;";"&amp;K277)</f>
        <v>外功攻击+3;内功攻击+3</v>
      </c>
      <c r="F277" s="1" t="s">
        <v>14</v>
      </c>
      <c r="G277" s="1" t="s">
        <v>40</v>
      </c>
      <c r="J277" s="5" t="s">
        <v>16</v>
      </c>
      <c r="K277" s="5" t="s">
        <v>286</v>
      </c>
    </row>
    <row r="278" spans="1:11" x14ac:dyDescent="0.25">
      <c r="A278" s="7">
        <v>1090203</v>
      </c>
      <c r="B278" s="1">
        <v>109002</v>
      </c>
      <c r="C278" s="1">
        <v>1</v>
      </c>
      <c r="D278" s="1">
        <v>0</v>
      </c>
      <c r="E278" s="5">
        <f t="shared" si="35"/>
        <v>0</v>
      </c>
      <c r="F278" s="1" t="s">
        <v>14</v>
      </c>
      <c r="G278" s="1" t="s">
        <v>40</v>
      </c>
      <c r="J278" s="5">
        <v>0</v>
      </c>
      <c r="K278" s="5">
        <v>0</v>
      </c>
    </row>
    <row r="279" spans="1:11" x14ac:dyDescent="0.25">
      <c r="A279" s="7">
        <v>1090204</v>
      </c>
      <c r="B279" s="1">
        <v>109002</v>
      </c>
      <c r="C279" s="1">
        <v>2</v>
      </c>
      <c r="D279" s="1">
        <v>50</v>
      </c>
      <c r="E279" s="5" t="str">
        <f t="shared" si="35"/>
        <v>外功攻击+5;内功攻击+5</v>
      </c>
      <c r="F279" s="1" t="s">
        <v>14</v>
      </c>
      <c r="G279" s="1" t="s">
        <v>40</v>
      </c>
      <c r="J279" s="5" t="s">
        <v>18</v>
      </c>
      <c r="K279" s="5" t="s">
        <v>287</v>
      </c>
    </row>
    <row r="280" spans="1:11" x14ac:dyDescent="0.25">
      <c r="A280" s="7">
        <v>1090205</v>
      </c>
      <c r="B280" s="1">
        <v>109002</v>
      </c>
      <c r="C280" s="1">
        <v>1</v>
      </c>
      <c r="D280" s="1">
        <v>0</v>
      </c>
      <c r="E280" s="5">
        <f t="shared" si="35"/>
        <v>0</v>
      </c>
      <c r="F280" s="1" t="s">
        <v>14</v>
      </c>
      <c r="G280" s="1" t="s">
        <v>40</v>
      </c>
      <c r="J280" s="5">
        <v>0</v>
      </c>
      <c r="K280" s="5">
        <v>0</v>
      </c>
    </row>
    <row r="281" spans="1:11" x14ac:dyDescent="0.25">
      <c r="A281" s="7">
        <v>1090206</v>
      </c>
      <c r="B281" s="1">
        <v>109002</v>
      </c>
      <c r="C281" s="1">
        <v>3</v>
      </c>
      <c r="D281" s="1">
        <v>100</v>
      </c>
      <c r="E281" s="5" t="str">
        <f t="shared" si="35"/>
        <v>外功攻击+27;内功攻击+27</v>
      </c>
      <c r="F281" s="1" t="s">
        <v>14</v>
      </c>
      <c r="G281" s="1" t="s">
        <v>40</v>
      </c>
      <c r="J281" s="5" t="s">
        <v>19</v>
      </c>
      <c r="K281" s="5" t="s">
        <v>288</v>
      </c>
    </row>
    <row r="282" spans="1:11" x14ac:dyDescent="0.25">
      <c r="A282" s="7">
        <v>1090207</v>
      </c>
      <c r="B282" s="1">
        <v>109002</v>
      </c>
      <c r="C282" s="1">
        <v>4</v>
      </c>
      <c r="D282" s="1">
        <v>200</v>
      </c>
      <c r="E282" s="5" t="str">
        <f t="shared" si="35"/>
        <v>外功攻击+30;内功攻击+30</v>
      </c>
      <c r="F282" s="1" t="s">
        <v>14</v>
      </c>
      <c r="G282" s="1" t="s">
        <v>40</v>
      </c>
      <c r="J282" s="5" t="s">
        <v>20</v>
      </c>
      <c r="K282" s="5" t="s">
        <v>289</v>
      </c>
    </row>
    <row r="283" spans="1:11" x14ac:dyDescent="0.25">
      <c r="A283" s="7">
        <v>1090208</v>
      </c>
      <c r="B283" s="1">
        <v>109002</v>
      </c>
      <c r="C283" s="1">
        <v>5</v>
      </c>
      <c r="D283" s="1">
        <v>300</v>
      </c>
      <c r="E283" s="5" t="str">
        <f t="shared" si="35"/>
        <v>外功攻击+55;内功攻击+55</v>
      </c>
      <c r="F283" s="1" t="s">
        <v>14</v>
      </c>
      <c r="G283" s="1" t="s">
        <v>40</v>
      </c>
      <c r="J283" s="5" t="s">
        <v>21</v>
      </c>
      <c r="K283" s="5" t="s">
        <v>290</v>
      </c>
    </row>
    <row r="284" spans="1:11" x14ac:dyDescent="0.25">
      <c r="A284" s="7">
        <v>1090209</v>
      </c>
      <c r="B284" s="1">
        <v>109002</v>
      </c>
      <c r="C284" s="1">
        <v>6</v>
      </c>
      <c r="D284" s="1">
        <v>400</v>
      </c>
      <c r="E284" s="5" t="str">
        <f t="shared" si="35"/>
        <v>外功攻击+80;内功攻击+80</v>
      </c>
      <c r="F284" s="1" t="s">
        <v>14</v>
      </c>
      <c r="G284" s="1" t="s">
        <v>40</v>
      </c>
      <c r="J284" s="5" t="s">
        <v>22</v>
      </c>
      <c r="K284" s="5" t="s">
        <v>291</v>
      </c>
    </row>
    <row r="285" spans="1:11" x14ac:dyDescent="0.25">
      <c r="A285" s="7">
        <v>1090210</v>
      </c>
      <c r="B285" s="1">
        <v>109002</v>
      </c>
      <c r="C285" s="1">
        <v>7</v>
      </c>
      <c r="D285" s="1">
        <v>500</v>
      </c>
      <c r="E285" s="5" t="str">
        <f t="shared" si="35"/>
        <v>外功攻击+125;内功攻击+125</v>
      </c>
      <c r="F285" s="1" t="s">
        <v>14</v>
      </c>
      <c r="G285" s="1" t="s">
        <v>40</v>
      </c>
      <c r="J285" s="5" t="s">
        <v>23</v>
      </c>
      <c r="K285" s="5" t="s">
        <v>292</v>
      </c>
    </row>
    <row r="286" spans="1:11" x14ac:dyDescent="0.25">
      <c r="A286" s="1">
        <f>A285+1</f>
        <v>1090211</v>
      </c>
      <c r="B286" s="1">
        <f>B285</f>
        <v>109002</v>
      </c>
      <c r="C286" s="1">
        <f>C285+1</f>
        <v>8</v>
      </c>
      <c r="D286" s="1">
        <f>D285*2</f>
        <v>1000</v>
      </c>
      <c r="E286" s="5" t="str">
        <f t="shared" si="35"/>
        <v>外功攻击+249;内功攻击+249</v>
      </c>
      <c r="F286" s="1" t="str">
        <f t="shared" ref="F286:G288" si="36">F285</f>
        <v>1+0;</v>
      </c>
      <c r="G286" s="1" t="str">
        <f t="shared" si="36"/>
        <v>踪影孤鸿</v>
      </c>
      <c r="J286" s="5" t="s">
        <v>284</v>
      </c>
      <c r="K286" s="5" t="s">
        <v>293</v>
      </c>
    </row>
    <row r="287" spans="1:11" x14ac:dyDescent="0.25">
      <c r="A287" s="1">
        <f>A286+1</f>
        <v>1090212</v>
      </c>
      <c r="B287" s="1">
        <f>B286</f>
        <v>109002</v>
      </c>
      <c r="C287" s="1">
        <f>C286+1</f>
        <v>9</v>
      </c>
      <c r="D287" s="1">
        <f>D286+100</f>
        <v>1100</v>
      </c>
      <c r="E287" s="5" t="str">
        <f t="shared" si="35"/>
        <v>外功攻击+403;内功攻击+403</v>
      </c>
      <c r="F287" s="1" t="str">
        <f t="shared" si="36"/>
        <v>1+0;</v>
      </c>
      <c r="G287" s="1" t="str">
        <f t="shared" si="36"/>
        <v>踪影孤鸿</v>
      </c>
      <c r="J287" s="5" t="s">
        <v>285</v>
      </c>
      <c r="K287" s="5" t="s">
        <v>294</v>
      </c>
    </row>
    <row r="288" spans="1:11" x14ac:dyDescent="0.25">
      <c r="A288" s="1">
        <f>A287+1</f>
        <v>1090213</v>
      </c>
      <c r="B288" s="1">
        <f>B287</f>
        <v>109002</v>
      </c>
      <c r="C288" s="1">
        <f>C287+1</f>
        <v>10</v>
      </c>
      <c r="D288" s="1">
        <f>D287+100</f>
        <v>1200</v>
      </c>
      <c r="E288" s="5" t="str">
        <f t="shared" si="35"/>
        <v>外功攻击+503;内功攻击+503</v>
      </c>
      <c r="F288" s="1" t="str">
        <f t="shared" si="36"/>
        <v>1+0;</v>
      </c>
      <c r="G288" s="1" t="str">
        <f t="shared" si="36"/>
        <v>踪影孤鸿</v>
      </c>
      <c r="J288" s="5" t="s">
        <v>308</v>
      </c>
      <c r="K288" s="5" t="s">
        <v>309</v>
      </c>
    </row>
    <row r="289" spans="1:11" x14ac:dyDescent="0.25">
      <c r="A289" s="7">
        <v>1100101</v>
      </c>
      <c r="B289" s="1">
        <v>110001</v>
      </c>
      <c r="C289" s="1">
        <v>1</v>
      </c>
      <c r="D289" s="1">
        <v>0</v>
      </c>
      <c r="E289" s="5">
        <f t="shared" si="35"/>
        <v>0</v>
      </c>
      <c r="F289" s="1" t="s">
        <v>14</v>
      </c>
      <c r="G289" s="1" t="s">
        <v>41</v>
      </c>
      <c r="J289" s="5">
        <v>0</v>
      </c>
      <c r="K289" s="5">
        <v>0</v>
      </c>
    </row>
    <row r="290" spans="1:11" x14ac:dyDescent="0.25">
      <c r="A290" s="7">
        <v>1100102</v>
      </c>
      <c r="B290" s="1">
        <v>110001</v>
      </c>
      <c r="C290" s="1">
        <v>1</v>
      </c>
      <c r="D290" s="1">
        <v>10</v>
      </c>
      <c r="E290" s="5" t="str">
        <f t="shared" si="35"/>
        <v>外功攻击+3;内功攻击+3</v>
      </c>
      <c r="F290" s="1" t="s">
        <v>14</v>
      </c>
      <c r="G290" s="1" t="s">
        <v>41</v>
      </c>
      <c r="J290" s="5" t="s">
        <v>16</v>
      </c>
      <c r="K290" s="5" t="s">
        <v>286</v>
      </c>
    </row>
    <row r="291" spans="1:11" x14ac:dyDescent="0.25">
      <c r="A291" s="7">
        <v>1100103</v>
      </c>
      <c r="B291" s="1">
        <v>110001</v>
      </c>
      <c r="C291" s="1">
        <v>1</v>
      </c>
      <c r="D291" s="1">
        <v>0</v>
      </c>
      <c r="E291" s="5">
        <f t="shared" si="35"/>
        <v>0</v>
      </c>
      <c r="F291" s="1" t="s">
        <v>14</v>
      </c>
      <c r="G291" s="1" t="s">
        <v>41</v>
      </c>
      <c r="J291" s="5">
        <v>0</v>
      </c>
      <c r="K291" s="5">
        <v>0</v>
      </c>
    </row>
    <row r="292" spans="1:11" x14ac:dyDescent="0.25">
      <c r="A292" s="7">
        <v>1100104</v>
      </c>
      <c r="B292" s="1">
        <v>110001</v>
      </c>
      <c r="C292" s="1">
        <v>2</v>
      </c>
      <c r="D292" s="1">
        <v>50</v>
      </c>
      <c r="E292" s="5" t="str">
        <f t="shared" si="35"/>
        <v>外功攻击+5;内功攻击+5</v>
      </c>
      <c r="F292" s="1" t="s">
        <v>14</v>
      </c>
      <c r="G292" s="1" t="s">
        <v>41</v>
      </c>
      <c r="J292" s="5" t="s">
        <v>18</v>
      </c>
      <c r="K292" s="5" t="s">
        <v>287</v>
      </c>
    </row>
    <row r="293" spans="1:11" x14ac:dyDescent="0.25">
      <c r="A293" s="7">
        <v>1100105</v>
      </c>
      <c r="B293" s="1">
        <v>110001</v>
      </c>
      <c r="C293" s="1">
        <v>1</v>
      </c>
      <c r="D293" s="1">
        <v>0</v>
      </c>
      <c r="E293" s="5">
        <f t="shared" si="35"/>
        <v>0</v>
      </c>
      <c r="F293" s="1" t="s">
        <v>14</v>
      </c>
      <c r="G293" s="1" t="s">
        <v>41</v>
      </c>
      <c r="J293" s="5">
        <v>0</v>
      </c>
      <c r="K293" s="5">
        <v>0</v>
      </c>
    </row>
    <row r="294" spans="1:11" x14ac:dyDescent="0.25">
      <c r="A294" s="7">
        <v>1100106</v>
      </c>
      <c r="B294" s="1">
        <v>110001</v>
      </c>
      <c r="C294" s="1">
        <v>3</v>
      </c>
      <c r="D294" s="1">
        <v>100</v>
      </c>
      <c r="E294" s="5" t="str">
        <f t="shared" si="35"/>
        <v>外功攻击+27;内功攻击+27</v>
      </c>
      <c r="F294" s="1" t="s">
        <v>14</v>
      </c>
      <c r="G294" s="1" t="s">
        <v>41</v>
      </c>
      <c r="J294" s="5" t="s">
        <v>19</v>
      </c>
      <c r="K294" s="5" t="s">
        <v>288</v>
      </c>
    </row>
    <row r="295" spans="1:11" x14ac:dyDescent="0.25">
      <c r="A295" s="7">
        <v>1100107</v>
      </c>
      <c r="B295" s="1">
        <v>110001</v>
      </c>
      <c r="C295" s="1">
        <v>4</v>
      </c>
      <c r="D295" s="1">
        <v>200</v>
      </c>
      <c r="E295" s="5" t="str">
        <f t="shared" si="35"/>
        <v>外功攻击+30;内功攻击+30</v>
      </c>
      <c r="F295" s="1" t="s">
        <v>14</v>
      </c>
      <c r="G295" s="1" t="s">
        <v>41</v>
      </c>
      <c r="J295" s="5" t="s">
        <v>20</v>
      </c>
      <c r="K295" s="5" t="s">
        <v>289</v>
      </c>
    </row>
    <row r="296" spans="1:11" x14ac:dyDescent="0.25">
      <c r="A296" s="7">
        <v>1100108</v>
      </c>
      <c r="B296" s="1">
        <v>110001</v>
      </c>
      <c r="C296" s="1">
        <v>5</v>
      </c>
      <c r="D296" s="1">
        <v>300</v>
      </c>
      <c r="E296" s="5" t="str">
        <f t="shared" si="35"/>
        <v>外功攻击+55;内功攻击+55</v>
      </c>
      <c r="F296" s="1" t="s">
        <v>14</v>
      </c>
      <c r="G296" s="1" t="s">
        <v>41</v>
      </c>
      <c r="J296" s="5" t="s">
        <v>21</v>
      </c>
      <c r="K296" s="5" t="s">
        <v>290</v>
      </c>
    </row>
    <row r="297" spans="1:11" x14ac:dyDescent="0.25">
      <c r="A297" s="7">
        <v>1100109</v>
      </c>
      <c r="B297" s="1">
        <v>110001</v>
      </c>
      <c r="C297" s="1">
        <v>6</v>
      </c>
      <c r="D297" s="1">
        <v>400</v>
      </c>
      <c r="E297" s="5" t="str">
        <f t="shared" si="35"/>
        <v>外功攻击+80;内功攻击+80</v>
      </c>
      <c r="F297" s="1" t="s">
        <v>14</v>
      </c>
      <c r="G297" s="1" t="s">
        <v>41</v>
      </c>
      <c r="J297" s="5" t="s">
        <v>22</v>
      </c>
      <c r="K297" s="5" t="s">
        <v>291</v>
      </c>
    </row>
    <row r="298" spans="1:11" x14ac:dyDescent="0.25">
      <c r="A298" s="7">
        <v>1100110</v>
      </c>
      <c r="B298" s="1">
        <v>110001</v>
      </c>
      <c r="C298" s="1">
        <v>7</v>
      </c>
      <c r="D298" s="1">
        <v>500</v>
      </c>
      <c r="E298" s="5" t="str">
        <f t="shared" si="35"/>
        <v>外功攻击+125;内功攻击+125</v>
      </c>
      <c r="F298" s="1" t="s">
        <v>14</v>
      </c>
      <c r="G298" s="1" t="s">
        <v>41</v>
      </c>
      <c r="J298" s="5" t="s">
        <v>23</v>
      </c>
      <c r="K298" s="5" t="s">
        <v>292</v>
      </c>
    </row>
    <row r="299" spans="1:11" x14ac:dyDescent="0.25">
      <c r="A299" s="1">
        <f>A298+1</f>
        <v>1100111</v>
      </c>
      <c r="B299" s="1">
        <f>B298</f>
        <v>110001</v>
      </c>
      <c r="C299" s="1">
        <f>C298+1</f>
        <v>8</v>
      </c>
      <c r="D299" s="1">
        <f>D298*2</f>
        <v>1000</v>
      </c>
      <c r="E299" s="5" t="str">
        <f t="shared" si="35"/>
        <v>外功攻击+249;内功攻击+249</v>
      </c>
      <c r="F299" s="1" t="str">
        <f t="shared" ref="F299:G301" si="37">F298</f>
        <v>1+0;</v>
      </c>
      <c r="G299" s="1" t="str">
        <f t="shared" si="37"/>
        <v>无心流·拔刀术</v>
      </c>
      <c r="J299" s="5" t="s">
        <v>284</v>
      </c>
      <c r="K299" s="5" t="s">
        <v>293</v>
      </c>
    </row>
    <row r="300" spans="1:11" x14ac:dyDescent="0.25">
      <c r="A300" s="1">
        <f>A299+1</f>
        <v>1100112</v>
      </c>
      <c r="B300" s="1">
        <f>B299</f>
        <v>110001</v>
      </c>
      <c r="C300" s="1">
        <f>C299+1</f>
        <v>9</v>
      </c>
      <c r="D300" s="1">
        <f>D299+100</f>
        <v>1100</v>
      </c>
      <c r="E300" s="5" t="str">
        <f t="shared" si="35"/>
        <v>外功攻击+403;内功攻击+403</v>
      </c>
      <c r="F300" s="1" t="str">
        <f t="shared" si="37"/>
        <v>1+0;</v>
      </c>
      <c r="G300" s="1" t="str">
        <f t="shared" si="37"/>
        <v>无心流·拔刀术</v>
      </c>
      <c r="J300" s="5" t="s">
        <v>285</v>
      </c>
      <c r="K300" s="5" t="s">
        <v>294</v>
      </c>
    </row>
    <row r="301" spans="1:11" x14ac:dyDescent="0.25">
      <c r="A301" s="1">
        <f>A300+1</f>
        <v>1100113</v>
      </c>
      <c r="B301" s="1">
        <f>B300</f>
        <v>110001</v>
      </c>
      <c r="C301" s="1">
        <f>C300+1</f>
        <v>10</v>
      </c>
      <c r="D301" s="1">
        <f>D300+100</f>
        <v>1200</v>
      </c>
      <c r="E301" s="5" t="str">
        <f t="shared" ref="E301" si="38">IF(J301=0,J301,J301&amp;";"&amp;K301)</f>
        <v>外功攻击+503;内功攻击+503</v>
      </c>
      <c r="F301" s="1" t="str">
        <f t="shared" si="37"/>
        <v>1+0;</v>
      </c>
      <c r="G301" s="1" t="str">
        <f t="shared" si="37"/>
        <v>无心流·拔刀术</v>
      </c>
      <c r="J301" s="5" t="s">
        <v>308</v>
      </c>
      <c r="K301" s="5" t="s">
        <v>309</v>
      </c>
    </row>
    <row r="302" spans="1:11" x14ac:dyDescent="0.25">
      <c r="A302" s="7">
        <v>1100201</v>
      </c>
      <c r="B302" s="1">
        <v>110002</v>
      </c>
      <c r="C302" s="1">
        <v>1</v>
      </c>
      <c r="D302" s="1">
        <v>0</v>
      </c>
      <c r="E302" s="5">
        <f t="shared" si="35"/>
        <v>0</v>
      </c>
      <c r="F302" s="1" t="s">
        <v>14</v>
      </c>
      <c r="G302" s="1" t="s">
        <v>42</v>
      </c>
      <c r="J302" s="5">
        <v>0</v>
      </c>
      <c r="K302" s="5">
        <v>0</v>
      </c>
    </row>
    <row r="303" spans="1:11" x14ac:dyDescent="0.25">
      <c r="A303" s="7">
        <v>1100202</v>
      </c>
      <c r="B303" s="1">
        <v>110002</v>
      </c>
      <c r="C303" s="1">
        <v>1</v>
      </c>
      <c r="D303" s="1">
        <v>10</v>
      </c>
      <c r="E303" s="5" t="str">
        <f t="shared" si="35"/>
        <v>外功攻击+3;内功攻击+3</v>
      </c>
      <c r="F303" s="1" t="s">
        <v>14</v>
      </c>
      <c r="G303" s="1" t="s">
        <v>42</v>
      </c>
      <c r="J303" s="5" t="s">
        <v>16</v>
      </c>
      <c r="K303" s="5" t="s">
        <v>286</v>
      </c>
    </row>
    <row r="304" spans="1:11" x14ac:dyDescent="0.25">
      <c r="A304" s="7">
        <v>1100203</v>
      </c>
      <c r="B304" s="1">
        <v>110002</v>
      </c>
      <c r="C304" s="1">
        <v>1</v>
      </c>
      <c r="D304" s="1">
        <v>0</v>
      </c>
      <c r="E304" s="5">
        <f t="shared" si="35"/>
        <v>0</v>
      </c>
      <c r="F304" s="1" t="s">
        <v>14</v>
      </c>
      <c r="G304" s="1" t="s">
        <v>42</v>
      </c>
      <c r="J304" s="5">
        <v>0</v>
      </c>
      <c r="K304" s="5">
        <v>0</v>
      </c>
    </row>
    <row r="305" spans="1:11" x14ac:dyDescent="0.25">
      <c r="A305" s="7">
        <v>1100204</v>
      </c>
      <c r="B305" s="1">
        <v>110002</v>
      </c>
      <c r="C305" s="1">
        <v>2</v>
      </c>
      <c r="D305" s="1">
        <v>50</v>
      </c>
      <c r="E305" s="5" t="str">
        <f t="shared" si="35"/>
        <v>外功攻击+5;内功攻击+5</v>
      </c>
      <c r="F305" s="1" t="s">
        <v>14</v>
      </c>
      <c r="G305" s="1" t="s">
        <v>42</v>
      </c>
      <c r="J305" s="5" t="s">
        <v>18</v>
      </c>
      <c r="K305" s="5" t="s">
        <v>287</v>
      </c>
    </row>
    <row r="306" spans="1:11" x14ac:dyDescent="0.25">
      <c r="A306" s="7">
        <v>1100205</v>
      </c>
      <c r="B306" s="1">
        <v>110002</v>
      </c>
      <c r="C306" s="1">
        <v>1</v>
      </c>
      <c r="D306" s="1">
        <v>0</v>
      </c>
      <c r="E306" s="5">
        <f t="shared" si="35"/>
        <v>0</v>
      </c>
      <c r="F306" s="1" t="s">
        <v>14</v>
      </c>
      <c r="G306" s="1" t="s">
        <v>42</v>
      </c>
      <c r="J306" s="5">
        <v>0</v>
      </c>
      <c r="K306" s="5">
        <v>0</v>
      </c>
    </row>
    <row r="307" spans="1:11" x14ac:dyDescent="0.25">
      <c r="A307" s="7">
        <v>1100206</v>
      </c>
      <c r="B307" s="1">
        <v>110002</v>
      </c>
      <c r="C307" s="1">
        <v>3</v>
      </c>
      <c r="D307" s="1">
        <v>100</v>
      </c>
      <c r="E307" s="5" t="str">
        <f t="shared" si="35"/>
        <v>外功攻击+27;内功攻击+27</v>
      </c>
      <c r="F307" s="1" t="s">
        <v>14</v>
      </c>
      <c r="G307" s="1" t="s">
        <v>42</v>
      </c>
      <c r="J307" s="5" t="s">
        <v>19</v>
      </c>
      <c r="K307" s="5" t="s">
        <v>288</v>
      </c>
    </row>
    <row r="308" spans="1:11" x14ac:dyDescent="0.25">
      <c r="A308" s="7">
        <v>1100207</v>
      </c>
      <c r="B308" s="1">
        <v>110002</v>
      </c>
      <c r="C308" s="1">
        <v>4</v>
      </c>
      <c r="D308" s="1">
        <v>200</v>
      </c>
      <c r="E308" s="5" t="str">
        <f t="shared" si="35"/>
        <v>外功攻击+30;内功攻击+30</v>
      </c>
      <c r="F308" s="1" t="s">
        <v>14</v>
      </c>
      <c r="G308" s="1" t="s">
        <v>42</v>
      </c>
      <c r="J308" s="5" t="s">
        <v>20</v>
      </c>
      <c r="K308" s="5" t="s">
        <v>289</v>
      </c>
    </row>
    <row r="309" spans="1:11" x14ac:dyDescent="0.25">
      <c r="A309" s="7">
        <v>1100208</v>
      </c>
      <c r="B309" s="1">
        <v>110002</v>
      </c>
      <c r="C309" s="1">
        <v>5</v>
      </c>
      <c r="D309" s="1">
        <v>300</v>
      </c>
      <c r="E309" s="5" t="str">
        <f t="shared" si="35"/>
        <v>外功攻击+55;内功攻击+55</v>
      </c>
      <c r="F309" s="1" t="s">
        <v>14</v>
      </c>
      <c r="G309" s="1" t="s">
        <v>42</v>
      </c>
      <c r="J309" s="5" t="s">
        <v>21</v>
      </c>
      <c r="K309" s="5" t="s">
        <v>290</v>
      </c>
    </row>
    <row r="310" spans="1:11" x14ac:dyDescent="0.25">
      <c r="A310" s="7">
        <v>1100209</v>
      </c>
      <c r="B310" s="1">
        <v>110002</v>
      </c>
      <c r="C310" s="1">
        <v>6</v>
      </c>
      <c r="D310" s="1">
        <v>400</v>
      </c>
      <c r="E310" s="5" t="str">
        <f t="shared" si="35"/>
        <v>外功攻击+80;内功攻击+80</v>
      </c>
      <c r="F310" s="1" t="s">
        <v>14</v>
      </c>
      <c r="G310" s="1" t="s">
        <v>42</v>
      </c>
      <c r="J310" s="5" t="s">
        <v>22</v>
      </c>
      <c r="K310" s="5" t="s">
        <v>291</v>
      </c>
    </row>
    <row r="311" spans="1:11" x14ac:dyDescent="0.25">
      <c r="A311" s="7">
        <v>1100210</v>
      </c>
      <c r="B311" s="1">
        <v>110002</v>
      </c>
      <c r="C311" s="1">
        <v>7</v>
      </c>
      <c r="D311" s="1">
        <v>500</v>
      </c>
      <c r="E311" s="5" t="str">
        <f t="shared" si="35"/>
        <v>外功攻击+125;内功攻击+125</v>
      </c>
      <c r="F311" s="1" t="s">
        <v>14</v>
      </c>
      <c r="G311" s="1" t="s">
        <v>42</v>
      </c>
      <c r="J311" s="5" t="s">
        <v>23</v>
      </c>
      <c r="K311" s="5" t="s">
        <v>292</v>
      </c>
    </row>
    <row r="312" spans="1:11" x14ac:dyDescent="0.25">
      <c r="A312" s="1">
        <f>A311+1</f>
        <v>1100211</v>
      </c>
      <c r="B312" s="1">
        <f>B311</f>
        <v>110002</v>
      </c>
      <c r="C312" s="1">
        <f>C311+1</f>
        <v>8</v>
      </c>
      <c r="D312" s="1">
        <f>D311*2</f>
        <v>1000</v>
      </c>
      <c r="E312" s="5" t="str">
        <f t="shared" si="35"/>
        <v>外功攻击+249;内功攻击+249</v>
      </c>
      <c r="F312" s="1" t="str">
        <f t="shared" ref="F312:G314" si="39">F311</f>
        <v>1+0;</v>
      </c>
      <c r="G312" s="1" t="str">
        <f t="shared" si="39"/>
        <v>密剑·山中石响</v>
      </c>
      <c r="J312" s="5" t="s">
        <v>284</v>
      </c>
      <c r="K312" s="5" t="s">
        <v>293</v>
      </c>
    </row>
    <row r="313" spans="1:11" x14ac:dyDescent="0.25">
      <c r="A313" s="1">
        <f>A312+1</f>
        <v>1100212</v>
      </c>
      <c r="B313" s="1">
        <f>B312</f>
        <v>110002</v>
      </c>
      <c r="C313" s="1">
        <f>C312+1</f>
        <v>9</v>
      </c>
      <c r="D313" s="1">
        <f>D312+100</f>
        <v>1100</v>
      </c>
      <c r="E313" s="5" t="str">
        <f t="shared" si="35"/>
        <v>外功攻击+403;内功攻击+403</v>
      </c>
      <c r="F313" s="1" t="str">
        <f t="shared" si="39"/>
        <v>1+0;</v>
      </c>
      <c r="G313" s="1" t="str">
        <f t="shared" si="39"/>
        <v>密剑·山中石响</v>
      </c>
      <c r="J313" s="5" t="s">
        <v>285</v>
      </c>
      <c r="K313" s="5" t="s">
        <v>294</v>
      </c>
    </row>
    <row r="314" spans="1:11" x14ac:dyDescent="0.25">
      <c r="A314" s="1">
        <f>A313+1</f>
        <v>1100213</v>
      </c>
      <c r="B314" s="1">
        <f>B313</f>
        <v>110002</v>
      </c>
      <c r="C314" s="1">
        <f>C313+1</f>
        <v>10</v>
      </c>
      <c r="D314" s="1">
        <f>D313+100</f>
        <v>1200</v>
      </c>
      <c r="E314" s="5" t="str">
        <f t="shared" si="35"/>
        <v>外功攻击+503;内功攻击+503</v>
      </c>
      <c r="F314" s="1" t="str">
        <f t="shared" si="39"/>
        <v>1+0;</v>
      </c>
      <c r="G314" s="1" t="str">
        <f t="shared" si="39"/>
        <v>密剑·山中石响</v>
      </c>
      <c r="J314" s="5" t="s">
        <v>308</v>
      </c>
      <c r="K314" s="5" t="s">
        <v>309</v>
      </c>
    </row>
    <row r="315" spans="1:11" x14ac:dyDescent="0.25">
      <c r="A315" s="7">
        <v>1100301</v>
      </c>
      <c r="B315" s="1">
        <v>110003</v>
      </c>
      <c r="C315" s="1">
        <v>1</v>
      </c>
      <c r="D315" s="1">
        <v>0</v>
      </c>
      <c r="E315" s="5">
        <f t="shared" si="35"/>
        <v>0</v>
      </c>
      <c r="F315" s="1" t="s">
        <v>14</v>
      </c>
      <c r="G315" s="32" t="s">
        <v>350</v>
      </c>
      <c r="H315" s="40" t="s">
        <v>351</v>
      </c>
      <c r="J315" s="5">
        <v>0</v>
      </c>
      <c r="K315" s="5">
        <v>0</v>
      </c>
    </row>
    <row r="316" spans="1:11" x14ac:dyDescent="0.25">
      <c r="A316" s="7">
        <v>1100302</v>
      </c>
      <c r="B316" s="1">
        <v>110003</v>
      </c>
      <c r="C316" s="1">
        <v>1</v>
      </c>
      <c r="D316" s="1">
        <v>10</v>
      </c>
      <c r="E316" s="5" t="str">
        <f t="shared" si="35"/>
        <v>外功攻击+3;内功攻击+3</v>
      </c>
      <c r="F316" s="1" t="s">
        <v>14</v>
      </c>
      <c r="G316" s="33" t="s">
        <v>350</v>
      </c>
      <c r="H316" s="40" t="s">
        <v>352</v>
      </c>
      <c r="J316" s="5" t="s">
        <v>16</v>
      </c>
      <c r="K316" s="5" t="s">
        <v>286</v>
      </c>
    </row>
    <row r="317" spans="1:11" x14ac:dyDescent="0.25">
      <c r="A317" s="7">
        <v>1100303</v>
      </c>
      <c r="B317" s="1">
        <v>110003</v>
      </c>
      <c r="C317" s="1">
        <v>1</v>
      </c>
      <c r="D317" s="1">
        <v>0</v>
      </c>
      <c r="E317" s="5">
        <f t="shared" si="35"/>
        <v>0</v>
      </c>
      <c r="F317" s="1" t="s">
        <v>14</v>
      </c>
      <c r="G317" s="33" t="s">
        <v>350</v>
      </c>
      <c r="H317" s="40" t="s">
        <v>353</v>
      </c>
      <c r="J317" s="5">
        <v>0</v>
      </c>
      <c r="K317" s="5">
        <v>0</v>
      </c>
    </row>
    <row r="318" spans="1:11" x14ac:dyDescent="0.25">
      <c r="A318" s="7">
        <v>1100304</v>
      </c>
      <c r="B318" s="1">
        <v>110003</v>
      </c>
      <c r="C318" s="1">
        <v>2</v>
      </c>
      <c r="D318" s="1">
        <v>50</v>
      </c>
      <c r="E318" s="5" t="str">
        <f t="shared" si="35"/>
        <v>外功攻击+5;内功攻击+5</v>
      </c>
      <c r="F318" s="1" t="s">
        <v>14</v>
      </c>
      <c r="G318" s="41" t="s">
        <v>350</v>
      </c>
      <c r="H318" s="42" t="s">
        <v>354</v>
      </c>
      <c r="J318" s="5" t="s">
        <v>18</v>
      </c>
      <c r="K318" s="5" t="s">
        <v>287</v>
      </c>
    </row>
    <row r="319" spans="1:11" x14ac:dyDescent="0.25">
      <c r="A319" s="7">
        <v>1100305</v>
      </c>
      <c r="B319" s="1">
        <v>110003</v>
      </c>
      <c r="C319" s="1">
        <v>1</v>
      </c>
      <c r="D319" s="1">
        <v>0</v>
      </c>
      <c r="E319" s="5">
        <f t="shared" si="35"/>
        <v>0</v>
      </c>
      <c r="F319" s="1" t="s">
        <v>14</v>
      </c>
      <c r="G319" s="33" t="s">
        <v>350</v>
      </c>
      <c r="H319" s="40" t="s">
        <v>355</v>
      </c>
      <c r="J319" s="5">
        <v>0</v>
      </c>
      <c r="K319" s="5">
        <v>0</v>
      </c>
    </row>
    <row r="320" spans="1:11" x14ac:dyDescent="0.25">
      <c r="A320" s="7">
        <v>1100306</v>
      </c>
      <c r="B320" s="1">
        <v>110003</v>
      </c>
      <c r="C320" s="1">
        <v>3</v>
      </c>
      <c r="D320" s="1">
        <v>100</v>
      </c>
      <c r="E320" s="5" t="str">
        <f t="shared" si="35"/>
        <v>外功攻击+27;内功攻击+27</v>
      </c>
      <c r="F320" s="1" t="s">
        <v>14</v>
      </c>
      <c r="G320" s="33" t="s">
        <v>350</v>
      </c>
      <c r="H320" s="40" t="s">
        <v>356</v>
      </c>
      <c r="J320" s="5" t="s">
        <v>19</v>
      </c>
      <c r="K320" s="5" t="s">
        <v>288</v>
      </c>
    </row>
    <row r="321" spans="1:11" x14ac:dyDescent="0.25">
      <c r="A321" s="7">
        <v>1100307</v>
      </c>
      <c r="B321" s="1">
        <v>110003</v>
      </c>
      <c r="C321" s="1">
        <v>4</v>
      </c>
      <c r="D321" s="1">
        <v>200</v>
      </c>
      <c r="E321" s="5" t="str">
        <f t="shared" si="35"/>
        <v>外功攻击+30;内功攻击+30</v>
      </c>
      <c r="F321" s="1" t="s">
        <v>14</v>
      </c>
      <c r="G321" s="33" t="s">
        <v>350</v>
      </c>
      <c r="H321" s="40" t="s">
        <v>357</v>
      </c>
      <c r="J321" s="5" t="s">
        <v>20</v>
      </c>
      <c r="K321" s="5" t="s">
        <v>289</v>
      </c>
    </row>
    <row r="322" spans="1:11" x14ac:dyDescent="0.25">
      <c r="A322" s="7">
        <v>1100308</v>
      </c>
      <c r="B322" s="1">
        <v>110003</v>
      </c>
      <c r="C322" s="1">
        <v>5</v>
      </c>
      <c r="D322" s="1">
        <v>300</v>
      </c>
      <c r="E322" s="5" t="str">
        <f t="shared" si="35"/>
        <v>外功攻击+55;内功攻击+55</v>
      </c>
      <c r="F322" s="1" t="s">
        <v>14</v>
      </c>
      <c r="G322" s="33" t="s">
        <v>350</v>
      </c>
      <c r="H322" s="40" t="s">
        <v>358</v>
      </c>
      <c r="J322" s="5" t="s">
        <v>21</v>
      </c>
      <c r="K322" s="5" t="s">
        <v>290</v>
      </c>
    </row>
    <row r="323" spans="1:11" x14ac:dyDescent="0.25">
      <c r="A323" s="7">
        <v>1100309</v>
      </c>
      <c r="B323" s="1">
        <v>110003</v>
      </c>
      <c r="C323" s="1">
        <v>6</v>
      </c>
      <c r="D323" s="1">
        <v>400</v>
      </c>
      <c r="E323" s="5" t="str">
        <f t="shared" si="35"/>
        <v>外功攻击+80;内功攻击+80</v>
      </c>
      <c r="F323" s="1" t="s">
        <v>14</v>
      </c>
      <c r="G323" s="33" t="s">
        <v>350</v>
      </c>
      <c r="H323" s="40" t="s">
        <v>359</v>
      </c>
      <c r="J323" s="5" t="s">
        <v>22</v>
      </c>
      <c r="K323" s="5" t="s">
        <v>291</v>
      </c>
    </row>
    <row r="324" spans="1:11" x14ac:dyDescent="0.25">
      <c r="A324" s="7">
        <v>1100310</v>
      </c>
      <c r="B324" s="1">
        <v>110003</v>
      </c>
      <c r="C324" s="1">
        <v>7</v>
      </c>
      <c r="D324" s="1">
        <v>500</v>
      </c>
      <c r="E324" s="5" t="str">
        <f t="shared" si="35"/>
        <v>外功攻击+125;内功攻击+125</v>
      </c>
      <c r="F324" s="1" t="s">
        <v>14</v>
      </c>
      <c r="G324" s="33" t="s">
        <v>350</v>
      </c>
      <c r="H324" s="40" t="s">
        <v>360</v>
      </c>
      <c r="J324" s="5" t="s">
        <v>23</v>
      </c>
      <c r="K324" s="5" t="s">
        <v>292</v>
      </c>
    </row>
    <row r="325" spans="1:11" ht="14.5" x14ac:dyDescent="0.3">
      <c r="A325" s="7">
        <v>1100311</v>
      </c>
      <c r="B325" s="1">
        <v>110003</v>
      </c>
      <c r="C325" s="1">
        <f>C324+1</f>
        <v>8</v>
      </c>
      <c r="D325" s="1">
        <f>D324*2</f>
        <v>1000</v>
      </c>
      <c r="E325" s="5" t="str">
        <f t="shared" si="35"/>
        <v>外功攻击+249;内功攻击+249</v>
      </c>
      <c r="F325" s="1" t="str">
        <f t="shared" ref="F325:F327" si="40">F324</f>
        <v>1+0;</v>
      </c>
      <c r="G325" s="1" t="s">
        <v>350</v>
      </c>
      <c r="H325" s="43" t="s">
        <v>361</v>
      </c>
      <c r="J325" s="5" t="s">
        <v>284</v>
      </c>
      <c r="K325" s="5" t="s">
        <v>293</v>
      </c>
    </row>
    <row r="326" spans="1:11" ht="14.5" x14ac:dyDescent="0.3">
      <c r="A326" s="7">
        <v>1100312</v>
      </c>
      <c r="B326" s="1">
        <v>110003</v>
      </c>
      <c r="C326" s="1">
        <f>C325+1</f>
        <v>9</v>
      </c>
      <c r="D326" s="1">
        <f>D325+100</f>
        <v>1100</v>
      </c>
      <c r="E326" s="5" t="str">
        <f t="shared" si="35"/>
        <v>外功攻击+403;内功攻击+403</v>
      </c>
      <c r="F326" s="1" t="str">
        <f t="shared" si="40"/>
        <v>1+0;</v>
      </c>
      <c r="G326" s="1" t="s">
        <v>350</v>
      </c>
      <c r="H326" s="43" t="s">
        <v>362</v>
      </c>
      <c r="J326" s="5" t="s">
        <v>285</v>
      </c>
      <c r="K326" s="5" t="s">
        <v>294</v>
      </c>
    </row>
    <row r="327" spans="1:11" ht="14.5" x14ac:dyDescent="0.3">
      <c r="A327" s="7">
        <v>1100313</v>
      </c>
      <c r="B327" s="1">
        <v>110003</v>
      </c>
      <c r="C327" s="1">
        <f>C326+1</f>
        <v>10</v>
      </c>
      <c r="D327" s="1">
        <f>D326+100</f>
        <v>1200</v>
      </c>
      <c r="E327" s="5" t="str">
        <f t="shared" si="35"/>
        <v>外功攻击+503;内功攻击+503</v>
      </c>
      <c r="F327" s="1" t="str">
        <f t="shared" si="40"/>
        <v>1+0;</v>
      </c>
      <c r="G327" s="1" t="s">
        <v>350</v>
      </c>
      <c r="H327" s="43" t="s">
        <v>363</v>
      </c>
      <c r="J327" s="5" t="s">
        <v>308</v>
      </c>
      <c r="K327" s="5" t="s">
        <v>309</v>
      </c>
    </row>
    <row r="328" spans="1:11" x14ac:dyDescent="0.25">
      <c r="A328" s="7">
        <v>1100401</v>
      </c>
      <c r="B328" s="1">
        <v>110004</v>
      </c>
      <c r="C328" s="1">
        <v>1</v>
      </c>
      <c r="D328" s="1">
        <v>0</v>
      </c>
      <c r="E328" s="5">
        <f t="shared" ref="E328:E340" si="41">IF(J328=0,J328,J328&amp;";"&amp;K328)</f>
        <v>0</v>
      </c>
      <c r="F328" s="1" t="s">
        <v>14</v>
      </c>
      <c r="G328" s="32" t="s">
        <v>336</v>
      </c>
      <c r="H328" s="40" t="s">
        <v>337</v>
      </c>
      <c r="J328" s="5">
        <v>0</v>
      </c>
      <c r="K328" s="5">
        <v>0</v>
      </c>
    </row>
    <row r="329" spans="1:11" x14ac:dyDescent="0.25">
      <c r="A329" s="7">
        <v>1100402</v>
      </c>
      <c r="B329" s="1">
        <v>110004</v>
      </c>
      <c r="C329" s="1">
        <v>1</v>
      </c>
      <c r="D329" s="1">
        <v>10</v>
      </c>
      <c r="E329" s="5" t="str">
        <f t="shared" si="41"/>
        <v>外功攻击+3;内功攻击+3</v>
      </c>
      <c r="F329" s="1" t="s">
        <v>14</v>
      </c>
      <c r="G329" s="33" t="s">
        <v>336</v>
      </c>
      <c r="H329" s="40" t="s">
        <v>338</v>
      </c>
      <c r="J329" s="5" t="s">
        <v>16</v>
      </c>
      <c r="K329" s="5" t="s">
        <v>286</v>
      </c>
    </row>
    <row r="330" spans="1:11" x14ac:dyDescent="0.25">
      <c r="A330" s="7">
        <v>1100403</v>
      </c>
      <c r="B330" s="1">
        <v>110004</v>
      </c>
      <c r="C330" s="1">
        <v>1</v>
      </c>
      <c r="D330" s="1">
        <v>0</v>
      </c>
      <c r="E330" s="5">
        <f t="shared" si="41"/>
        <v>0</v>
      </c>
      <c r="F330" s="1" t="s">
        <v>14</v>
      </c>
      <c r="G330" s="33" t="s">
        <v>336</v>
      </c>
      <c r="H330" s="40" t="s">
        <v>339</v>
      </c>
      <c r="J330" s="5">
        <v>0</v>
      </c>
      <c r="K330" s="5">
        <v>0</v>
      </c>
    </row>
    <row r="331" spans="1:11" x14ac:dyDescent="0.25">
      <c r="A331" s="7">
        <v>1100404</v>
      </c>
      <c r="B331" s="1">
        <v>110004</v>
      </c>
      <c r="C331" s="1">
        <v>2</v>
      </c>
      <c r="D331" s="1">
        <v>50</v>
      </c>
      <c r="E331" s="5" t="str">
        <f t="shared" si="41"/>
        <v>外功攻击+5;内功攻击+5</v>
      </c>
      <c r="F331" s="1" t="s">
        <v>14</v>
      </c>
      <c r="G331" s="33" t="s">
        <v>336</v>
      </c>
      <c r="H331" s="40" t="s">
        <v>340</v>
      </c>
      <c r="J331" s="5" t="s">
        <v>18</v>
      </c>
      <c r="K331" s="5" t="s">
        <v>287</v>
      </c>
    </row>
    <row r="332" spans="1:11" x14ac:dyDescent="0.25">
      <c r="A332" s="7">
        <v>1100405</v>
      </c>
      <c r="B332" s="1">
        <v>110004</v>
      </c>
      <c r="C332" s="1">
        <v>1</v>
      </c>
      <c r="D332" s="1">
        <v>0</v>
      </c>
      <c r="E332" s="5">
        <f t="shared" si="41"/>
        <v>0</v>
      </c>
      <c r="F332" s="1" t="s">
        <v>14</v>
      </c>
      <c r="G332" s="33" t="s">
        <v>336</v>
      </c>
      <c r="H332" s="40" t="s">
        <v>341</v>
      </c>
      <c r="J332" s="5">
        <v>0</v>
      </c>
      <c r="K332" s="5">
        <v>0</v>
      </c>
    </row>
    <row r="333" spans="1:11" x14ac:dyDescent="0.25">
      <c r="A333" s="7">
        <v>1100406</v>
      </c>
      <c r="B333" s="1">
        <v>110004</v>
      </c>
      <c r="C333" s="1">
        <v>3</v>
      </c>
      <c r="D333" s="1">
        <v>100</v>
      </c>
      <c r="E333" s="5" t="str">
        <f t="shared" si="41"/>
        <v>外功攻击+27;内功攻击+27</v>
      </c>
      <c r="F333" s="1" t="s">
        <v>14</v>
      </c>
      <c r="G333" s="33" t="s">
        <v>336</v>
      </c>
      <c r="H333" s="40" t="s">
        <v>342</v>
      </c>
      <c r="J333" s="5" t="s">
        <v>19</v>
      </c>
      <c r="K333" s="5" t="s">
        <v>288</v>
      </c>
    </row>
    <row r="334" spans="1:11" x14ac:dyDescent="0.25">
      <c r="A334" s="7">
        <v>1100407</v>
      </c>
      <c r="B334" s="1">
        <v>110004</v>
      </c>
      <c r="C334" s="1">
        <v>4</v>
      </c>
      <c r="D334" s="1">
        <v>200</v>
      </c>
      <c r="E334" s="5" t="str">
        <f t="shared" si="41"/>
        <v>外功攻击+30;内功攻击+30</v>
      </c>
      <c r="F334" s="1" t="s">
        <v>14</v>
      </c>
      <c r="G334" s="33" t="s">
        <v>336</v>
      </c>
      <c r="H334" s="40" t="s">
        <v>343</v>
      </c>
      <c r="J334" s="5" t="s">
        <v>20</v>
      </c>
      <c r="K334" s="5" t="s">
        <v>289</v>
      </c>
    </row>
    <row r="335" spans="1:11" x14ac:dyDescent="0.25">
      <c r="A335" s="7">
        <v>1100408</v>
      </c>
      <c r="B335" s="1">
        <v>110004</v>
      </c>
      <c r="C335" s="1">
        <v>5</v>
      </c>
      <c r="D335" s="1">
        <v>300</v>
      </c>
      <c r="E335" s="5" t="str">
        <f t="shared" si="41"/>
        <v>外功攻击+55;内功攻击+55</v>
      </c>
      <c r="F335" s="1" t="s">
        <v>14</v>
      </c>
      <c r="G335" s="33" t="s">
        <v>336</v>
      </c>
      <c r="H335" s="40" t="s">
        <v>344</v>
      </c>
      <c r="J335" s="5" t="s">
        <v>21</v>
      </c>
      <c r="K335" s="5" t="s">
        <v>290</v>
      </c>
    </row>
    <row r="336" spans="1:11" x14ac:dyDescent="0.25">
      <c r="A336" s="7">
        <v>1100409</v>
      </c>
      <c r="B336" s="1">
        <v>110004</v>
      </c>
      <c r="C336" s="1">
        <v>6</v>
      </c>
      <c r="D336" s="1">
        <v>400</v>
      </c>
      <c r="E336" s="5" t="str">
        <f t="shared" si="41"/>
        <v>外功攻击+80;内功攻击+80</v>
      </c>
      <c r="F336" s="1" t="s">
        <v>14</v>
      </c>
      <c r="G336" s="33" t="s">
        <v>336</v>
      </c>
      <c r="H336" s="40" t="s">
        <v>345</v>
      </c>
      <c r="J336" s="5" t="s">
        <v>22</v>
      </c>
      <c r="K336" s="5" t="s">
        <v>291</v>
      </c>
    </row>
    <row r="337" spans="1:11" x14ac:dyDescent="0.25">
      <c r="A337" s="7">
        <v>1100410</v>
      </c>
      <c r="B337" s="1">
        <v>110004</v>
      </c>
      <c r="C337" s="1">
        <v>7</v>
      </c>
      <c r="D337" s="1">
        <v>500</v>
      </c>
      <c r="E337" s="5" t="str">
        <f t="shared" si="41"/>
        <v>外功攻击+125;内功攻击+125</v>
      </c>
      <c r="F337" s="1" t="s">
        <v>14</v>
      </c>
      <c r="G337" s="33" t="s">
        <v>336</v>
      </c>
      <c r="H337" s="40" t="s">
        <v>346</v>
      </c>
      <c r="J337" s="5" t="s">
        <v>23</v>
      </c>
      <c r="K337" s="5" t="s">
        <v>292</v>
      </c>
    </row>
    <row r="338" spans="1:11" x14ac:dyDescent="0.25">
      <c r="A338" s="7">
        <v>1100411</v>
      </c>
      <c r="B338" s="1">
        <v>110004</v>
      </c>
      <c r="C338" s="1">
        <f>C337+1</f>
        <v>8</v>
      </c>
      <c r="D338" s="1">
        <f>D337*2</f>
        <v>1000</v>
      </c>
      <c r="E338" s="5" t="str">
        <f t="shared" si="41"/>
        <v>外功攻击+249;内功攻击+249</v>
      </c>
      <c r="F338" s="1" t="str">
        <f t="shared" ref="F338:F340" si="42">F337</f>
        <v>1+0;</v>
      </c>
      <c r="G338" s="1" t="s">
        <v>336</v>
      </c>
      <c r="H338" s="39" t="s">
        <v>347</v>
      </c>
      <c r="J338" s="5" t="s">
        <v>284</v>
      </c>
      <c r="K338" s="5" t="s">
        <v>293</v>
      </c>
    </row>
    <row r="339" spans="1:11" x14ac:dyDescent="0.25">
      <c r="A339" s="7">
        <v>1100412</v>
      </c>
      <c r="B339" s="1">
        <v>110004</v>
      </c>
      <c r="C339" s="1">
        <f>C338+1</f>
        <v>9</v>
      </c>
      <c r="D339" s="1">
        <f>D338+100</f>
        <v>1100</v>
      </c>
      <c r="E339" s="5" t="str">
        <f t="shared" si="41"/>
        <v>外功攻击+403;内功攻击+403</v>
      </c>
      <c r="F339" s="1" t="str">
        <f t="shared" si="42"/>
        <v>1+0;</v>
      </c>
      <c r="G339" s="1" t="s">
        <v>336</v>
      </c>
      <c r="H339" s="39" t="s">
        <v>348</v>
      </c>
      <c r="J339" s="5" t="s">
        <v>285</v>
      </c>
      <c r="K339" s="5" t="s">
        <v>294</v>
      </c>
    </row>
    <row r="340" spans="1:11" x14ac:dyDescent="0.25">
      <c r="A340" s="7">
        <v>1100413</v>
      </c>
      <c r="B340" s="1">
        <v>110004</v>
      </c>
      <c r="C340" s="1">
        <f>C339+1</f>
        <v>10</v>
      </c>
      <c r="D340" s="1">
        <f>D339+100</f>
        <v>1200</v>
      </c>
      <c r="E340" s="5" t="str">
        <f t="shared" si="41"/>
        <v>外功攻击+503;内功攻击+503</v>
      </c>
      <c r="F340" s="1" t="str">
        <f t="shared" si="42"/>
        <v>1+0;</v>
      </c>
      <c r="G340" s="1" t="s">
        <v>336</v>
      </c>
      <c r="H340" s="39" t="s">
        <v>349</v>
      </c>
      <c r="J340" s="5" t="s">
        <v>308</v>
      </c>
      <c r="K340" s="5" t="s">
        <v>309</v>
      </c>
    </row>
    <row r="341" spans="1:11" x14ac:dyDescent="0.25">
      <c r="A341" s="1">
        <v>1110101</v>
      </c>
      <c r="B341" s="1">
        <v>111001</v>
      </c>
      <c r="C341" s="1">
        <v>1</v>
      </c>
      <c r="D341" s="1">
        <v>0</v>
      </c>
      <c r="E341" s="5">
        <f t="shared" si="35"/>
        <v>0</v>
      </c>
      <c r="F341" s="1" t="s">
        <v>14</v>
      </c>
      <c r="G341" s="1" t="s">
        <v>43</v>
      </c>
      <c r="J341" s="5">
        <v>0</v>
      </c>
      <c r="K341" s="5">
        <v>0</v>
      </c>
    </row>
    <row r="342" spans="1:11" x14ac:dyDescent="0.25">
      <c r="A342" s="1">
        <v>1110102</v>
      </c>
      <c r="B342" s="1">
        <v>111001</v>
      </c>
      <c r="C342" s="1">
        <v>1</v>
      </c>
      <c r="D342" s="1">
        <v>10</v>
      </c>
      <c r="E342" s="5" t="str">
        <f t="shared" si="35"/>
        <v>外功攻击+3;内功攻击+3</v>
      </c>
      <c r="F342" s="1" t="s">
        <v>14</v>
      </c>
      <c r="G342" s="1" t="s">
        <v>43</v>
      </c>
      <c r="J342" s="5" t="s">
        <v>16</v>
      </c>
      <c r="K342" s="5" t="s">
        <v>286</v>
      </c>
    </row>
    <row r="343" spans="1:11" x14ac:dyDescent="0.25">
      <c r="A343" s="1">
        <v>1110103</v>
      </c>
      <c r="B343" s="1">
        <v>111001</v>
      </c>
      <c r="C343" s="1">
        <v>1</v>
      </c>
      <c r="D343" s="1">
        <v>0</v>
      </c>
      <c r="E343" s="5">
        <f t="shared" si="35"/>
        <v>0</v>
      </c>
      <c r="F343" s="1" t="s">
        <v>14</v>
      </c>
      <c r="G343" s="1" t="s">
        <v>43</v>
      </c>
      <c r="J343" s="5">
        <v>0</v>
      </c>
      <c r="K343" s="5">
        <v>0</v>
      </c>
    </row>
    <row r="344" spans="1:11" x14ac:dyDescent="0.25">
      <c r="A344" s="1">
        <v>1110104</v>
      </c>
      <c r="B344" s="1">
        <v>111001</v>
      </c>
      <c r="C344" s="1">
        <v>2</v>
      </c>
      <c r="D344" s="1">
        <v>50</v>
      </c>
      <c r="E344" s="5" t="str">
        <f t="shared" si="35"/>
        <v>外功攻击+5;内功攻击+5</v>
      </c>
      <c r="F344" s="1" t="s">
        <v>14</v>
      </c>
      <c r="G344" s="1" t="s">
        <v>43</v>
      </c>
      <c r="J344" s="5" t="s">
        <v>18</v>
      </c>
      <c r="K344" s="5" t="s">
        <v>287</v>
      </c>
    </row>
    <row r="345" spans="1:11" x14ac:dyDescent="0.25">
      <c r="A345" s="1">
        <v>1110105</v>
      </c>
      <c r="B345" s="1">
        <v>111001</v>
      </c>
      <c r="C345" s="1">
        <v>1</v>
      </c>
      <c r="D345" s="1">
        <v>0</v>
      </c>
      <c r="E345" s="5">
        <f t="shared" si="35"/>
        <v>0</v>
      </c>
      <c r="F345" s="1" t="s">
        <v>14</v>
      </c>
      <c r="G345" s="1" t="s">
        <v>43</v>
      </c>
      <c r="J345" s="5">
        <v>0</v>
      </c>
      <c r="K345" s="5">
        <v>0</v>
      </c>
    </row>
    <row r="346" spans="1:11" x14ac:dyDescent="0.25">
      <c r="A346" s="1">
        <v>1110106</v>
      </c>
      <c r="B346" s="1">
        <v>111001</v>
      </c>
      <c r="C346" s="1">
        <v>3</v>
      </c>
      <c r="D346" s="1">
        <v>100</v>
      </c>
      <c r="E346" s="5" t="str">
        <f t="shared" si="35"/>
        <v>外功攻击+27;内功攻击+27</v>
      </c>
      <c r="F346" s="1" t="s">
        <v>14</v>
      </c>
      <c r="G346" s="1" t="s">
        <v>43</v>
      </c>
      <c r="J346" s="5" t="s">
        <v>19</v>
      </c>
      <c r="K346" s="5" t="s">
        <v>288</v>
      </c>
    </row>
    <row r="347" spans="1:11" x14ac:dyDescent="0.25">
      <c r="A347" s="1">
        <v>1110107</v>
      </c>
      <c r="B347" s="1">
        <v>111001</v>
      </c>
      <c r="C347" s="1">
        <v>4</v>
      </c>
      <c r="D347" s="1">
        <v>200</v>
      </c>
      <c r="E347" s="5" t="str">
        <f t="shared" si="35"/>
        <v>外功攻击+30;内功攻击+30</v>
      </c>
      <c r="F347" s="1" t="s">
        <v>14</v>
      </c>
      <c r="G347" s="1" t="s">
        <v>43</v>
      </c>
      <c r="J347" s="5" t="s">
        <v>20</v>
      </c>
      <c r="K347" s="5" t="s">
        <v>289</v>
      </c>
    </row>
    <row r="348" spans="1:11" x14ac:dyDescent="0.25">
      <c r="A348" s="1">
        <v>1110108</v>
      </c>
      <c r="B348" s="1">
        <v>111001</v>
      </c>
      <c r="C348" s="1">
        <v>5</v>
      </c>
      <c r="D348" s="1">
        <v>300</v>
      </c>
      <c r="E348" s="5" t="str">
        <f t="shared" si="35"/>
        <v>外功攻击+55;内功攻击+55</v>
      </c>
      <c r="F348" s="1" t="s">
        <v>14</v>
      </c>
      <c r="G348" s="1" t="s">
        <v>43</v>
      </c>
      <c r="J348" s="5" t="s">
        <v>21</v>
      </c>
      <c r="K348" s="5" t="s">
        <v>290</v>
      </c>
    </row>
    <row r="349" spans="1:11" x14ac:dyDescent="0.25">
      <c r="A349" s="1">
        <v>1110109</v>
      </c>
      <c r="B349" s="1">
        <v>111001</v>
      </c>
      <c r="C349" s="1">
        <v>6</v>
      </c>
      <c r="D349" s="1">
        <v>400</v>
      </c>
      <c r="E349" s="5" t="str">
        <f t="shared" si="35"/>
        <v>外功攻击+80;内功攻击+80</v>
      </c>
      <c r="F349" s="1" t="s">
        <v>14</v>
      </c>
      <c r="G349" s="1" t="s">
        <v>43</v>
      </c>
      <c r="J349" s="5" t="s">
        <v>22</v>
      </c>
      <c r="K349" s="5" t="s">
        <v>291</v>
      </c>
    </row>
    <row r="350" spans="1:11" x14ac:dyDescent="0.25">
      <c r="A350" s="1">
        <v>1110110</v>
      </c>
      <c r="B350" s="1">
        <v>111001</v>
      </c>
      <c r="C350" s="1">
        <v>7</v>
      </c>
      <c r="D350" s="1">
        <v>500</v>
      </c>
      <c r="E350" s="5" t="str">
        <f t="shared" si="35"/>
        <v>外功攻击+125;内功攻击+125</v>
      </c>
      <c r="F350" s="1" t="s">
        <v>14</v>
      </c>
      <c r="G350" s="1" t="s">
        <v>43</v>
      </c>
      <c r="J350" s="5" t="s">
        <v>23</v>
      </c>
      <c r="K350" s="5" t="s">
        <v>292</v>
      </c>
    </row>
    <row r="351" spans="1:11" x14ac:dyDescent="0.25">
      <c r="A351" s="1">
        <f>A350+1</f>
        <v>1110111</v>
      </c>
      <c r="B351" s="1">
        <f>B350</f>
        <v>111001</v>
      </c>
      <c r="C351" s="1">
        <f>C350+1</f>
        <v>8</v>
      </c>
      <c r="D351" s="1">
        <f>D350*2</f>
        <v>1000</v>
      </c>
      <c r="E351" s="5" t="str">
        <f t="shared" si="35"/>
        <v>外功攻击+249;内功攻击+249</v>
      </c>
      <c r="F351" s="1" t="str">
        <f t="shared" ref="F351:G353" si="43">F350</f>
        <v>1+0;</v>
      </c>
      <c r="G351" s="1" t="str">
        <f t="shared" si="43"/>
        <v>流缶金绳镖</v>
      </c>
      <c r="J351" s="5" t="s">
        <v>284</v>
      </c>
      <c r="K351" s="5" t="s">
        <v>293</v>
      </c>
    </row>
    <row r="352" spans="1:11" x14ac:dyDescent="0.25">
      <c r="A352" s="1">
        <f>A351+1</f>
        <v>1110112</v>
      </c>
      <c r="B352" s="1">
        <f>B351</f>
        <v>111001</v>
      </c>
      <c r="C352" s="1">
        <f>C351+1</f>
        <v>9</v>
      </c>
      <c r="D352" s="1">
        <f>D351+100</f>
        <v>1100</v>
      </c>
      <c r="E352" s="5" t="str">
        <f t="shared" si="35"/>
        <v>外功攻击+403;内功攻击+403</v>
      </c>
      <c r="F352" s="1" t="str">
        <f t="shared" si="43"/>
        <v>1+0;</v>
      </c>
      <c r="G352" s="1" t="str">
        <f t="shared" si="43"/>
        <v>流缶金绳镖</v>
      </c>
      <c r="J352" s="5" t="s">
        <v>285</v>
      </c>
      <c r="K352" s="5" t="s">
        <v>294</v>
      </c>
    </row>
    <row r="353" spans="1:11" x14ac:dyDescent="0.25">
      <c r="A353" s="1">
        <f>A352+1</f>
        <v>1110113</v>
      </c>
      <c r="B353" s="1">
        <f>B352</f>
        <v>111001</v>
      </c>
      <c r="C353" s="1">
        <f>C352+1</f>
        <v>10</v>
      </c>
      <c r="D353" s="1">
        <f>D352+100</f>
        <v>1200</v>
      </c>
      <c r="E353" s="5" t="str">
        <f t="shared" ref="E353" si="44">IF(J353=0,J353,J353&amp;";"&amp;K353)</f>
        <v>外功攻击+503;内功攻击+503</v>
      </c>
      <c r="F353" s="1" t="str">
        <f t="shared" si="43"/>
        <v>1+0;</v>
      </c>
      <c r="G353" s="1" t="str">
        <f t="shared" si="43"/>
        <v>流缶金绳镖</v>
      </c>
      <c r="J353" s="5" t="s">
        <v>308</v>
      </c>
      <c r="K353" s="5" t="s">
        <v>309</v>
      </c>
    </row>
    <row r="354" spans="1:11" ht="15" customHeight="1" x14ac:dyDescent="0.25">
      <c r="A354" s="1">
        <v>1140101</v>
      </c>
      <c r="B354" s="1">
        <v>114001</v>
      </c>
      <c r="C354" s="1">
        <v>1</v>
      </c>
      <c r="D354" s="1">
        <v>0</v>
      </c>
      <c r="E354" s="5">
        <f t="shared" si="35"/>
        <v>0</v>
      </c>
      <c r="F354" s="1" t="s">
        <v>14</v>
      </c>
      <c r="G354" s="1" t="s">
        <v>44</v>
      </c>
      <c r="J354" s="5">
        <v>0</v>
      </c>
      <c r="K354" s="5">
        <v>0</v>
      </c>
    </row>
    <row r="355" spans="1:11" x14ac:dyDescent="0.25">
      <c r="A355" s="1">
        <v>1140102</v>
      </c>
      <c r="B355" s="1">
        <v>114001</v>
      </c>
      <c r="C355" s="1">
        <v>1</v>
      </c>
      <c r="D355" s="1">
        <v>10</v>
      </c>
      <c r="E355" s="5" t="str">
        <f t="shared" si="35"/>
        <v>外功攻击+3;内功攻击+3</v>
      </c>
      <c r="F355" s="1" t="s">
        <v>14</v>
      </c>
      <c r="G355" s="1" t="s">
        <v>44</v>
      </c>
      <c r="J355" s="5" t="s">
        <v>16</v>
      </c>
      <c r="K355" s="5" t="s">
        <v>286</v>
      </c>
    </row>
    <row r="356" spans="1:11" x14ac:dyDescent="0.25">
      <c r="A356" s="1">
        <v>1140103</v>
      </c>
      <c r="B356" s="1">
        <v>114001</v>
      </c>
      <c r="C356" s="1">
        <v>1</v>
      </c>
      <c r="D356" s="1">
        <v>0</v>
      </c>
      <c r="E356" s="5">
        <f t="shared" si="35"/>
        <v>0</v>
      </c>
      <c r="F356" s="1" t="s">
        <v>14</v>
      </c>
      <c r="G356" s="1" t="s">
        <v>44</v>
      </c>
      <c r="J356" s="5">
        <v>0</v>
      </c>
      <c r="K356" s="5">
        <v>0</v>
      </c>
    </row>
    <row r="357" spans="1:11" x14ac:dyDescent="0.25">
      <c r="A357" s="1">
        <v>1140104</v>
      </c>
      <c r="B357" s="1">
        <v>114001</v>
      </c>
      <c r="C357" s="1">
        <v>2</v>
      </c>
      <c r="D357" s="1">
        <v>50</v>
      </c>
      <c r="E357" s="5" t="str">
        <f t="shared" si="35"/>
        <v>外功攻击+5;内功攻击+5</v>
      </c>
      <c r="F357" s="1" t="s">
        <v>14</v>
      </c>
      <c r="G357" s="1" t="s">
        <v>44</v>
      </c>
      <c r="J357" s="5" t="s">
        <v>18</v>
      </c>
      <c r="K357" s="5" t="s">
        <v>287</v>
      </c>
    </row>
    <row r="358" spans="1:11" x14ac:dyDescent="0.25">
      <c r="A358" s="1">
        <v>1140105</v>
      </c>
      <c r="B358" s="1">
        <v>114001</v>
      </c>
      <c r="C358" s="1">
        <v>1</v>
      </c>
      <c r="D358" s="1">
        <v>0</v>
      </c>
      <c r="E358" s="5">
        <f t="shared" si="35"/>
        <v>0</v>
      </c>
      <c r="F358" s="1" t="s">
        <v>14</v>
      </c>
      <c r="G358" s="1" t="s">
        <v>44</v>
      </c>
      <c r="J358" s="5">
        <v>0</v>
      </c>
      <c r="K358" s="5">
        <v>0</v>
      </c>
    </row>
    <row r="359" spans="1:11" x14ac:dyDescent="0.25">
      <c r="A359" s="1">
        <v>1140106</v>
      </c>
      <c r="B359" s="1">
        <v>114001</v>
      </c>
      <c r="C359" s="1">
        <v>3</v>
      </c>
      <c r="D359" s="1">
        <v>100</v>
      </c>
      <c r="E359" s="5" t="str">
        <f t="shared" si="35"/>
        <v>外功攻击+27;内功攻击+27</v>
      </c>
      <c r="F359" s="1" t="s">
        <v>14</v>
      </c>
      <c r="G359" s="1" t="s">
        <v>44</v>
      </c>
      <c r="J359" s="5" t="s">
        <v>19</v>
      </c>
      <c r="K359" s="5" t="s">
        <v>288</v>
      </c>
    </row>
    <row r="360" spans="1:11" x14ac:dyDescent="0.25">
      <c r="A360" s="1">
        <v>1140107</v>
      </c>
      <c r="B360" s="1">
        <v>114001</v>
      </c>
      <c r="C360" s="1">
        <v>4</v>
      </c>
      <c r="D360" s="1">
        <v>200</v>
      </c>
      <c r="E360" s="5" t="str">
        <f t="shared" si="35"/>
        <v>外功攻击+30;内功攻击+30</v>
      </c>
      <c r="F360" s="1" t="s">
        <v>14</v>
      </c>
      <c r="G360" s="1" t="s">
        <v>44</v>
      </c>
      <c r="J360" s="5" t="s">
        <v>20</v>
      </c>
      <c r="K360" s="5" t="s">
        <v>289</v>
      </c>
    </row>
    <row r="361" spans="1:11" x14ac:dyDescent="0.25">
      <c r="A361" s="1">
        <v>1140108</v>
      </c>
      <c r="B361" s="1">
        <v>114001</v>
      </c>
      <c r="C361" s="1">
        <v>5</v>
      </c>
      <c r="D361" s="1">
        <v>300</v>
      </c>
      <c r="E361" s="5" t="str">
        <f t="shared" si="35"/>
        <v>外功攻击+55;内功攻击+55</v>
      </c>
      <c r="F361" s="1" t="s">
        <v>14</v>
      </c>
      <c r="G361" s="1" t="s">
        <v>44</v>
      </c>
      <c r="J361" s="5" t="s">
        <v>21</v>
      </c>
      <c r="K361" s="5" t="s">
        <v>290</v>
      </c>
    </row>
    <row r="362" spans="1:11" x14ac:dyDescent="0.25">
      <c r="A362" s="1">
        <v>1140109</v>
      </c>
      <c r="B362" s="1">
        <v>114001</v>
      </c>
      <c r="C362" s="1">
        <v>6</v>
      </c>
      <c r="D362" s="1">
        <v>400</v>
      </c>
      <c r="E362" s="5" t="str">
        <f t="shared" si="35"/>
        <v>外功攻击+80;内功攻击+80</v>
      </c>
      <c r="F362" s="1" t="s">
        <v>14</v>
      </c>
      <c r="G362" s="1" t="s">
        <v>44</v>
      </c>
      <c r="J362" s="5" t="s">
        <v>22</v>
      </c>
      <c r="K362" s="5" t="s">
        <v>291</v>
      </c>
    </row>
    <row r="363" spans="1:11" x14ac:dyDescent="0.25">
      <c r="A363" s="1">
        <v>1140110</v>
      </c>
      <c r="B363" s="1">
        <v>114001</v>
      </c>
      <c r="C363" s="1">
        <v>7</v>
      </c>
      <c r="D363" s="1">
        <v>500</v>
      </c>
      <c r="E363" s="5" t="str">
        <f t="shared" si="35"/>
        <v>外功攻击+125;内功攻击+125</v>
      </c>
      <c r="F363" s="1" t="s">
        <v>14</v>
      </c>
      <c r="G363" s="1" t="s">
        <v>44</v>
      </c>
      <c r="J363" s="5" t="s">
        <v>23</v>
      </c>
      <c r="K363" s="5" t="s">
        <v>292</v>
      </c>
    </row>
    <row r="364" spans="1:11" x14ac:dyDescent="0.25">
      <c r="A364" s="1">
        <f>A363+1</f>
        <v>1140111</v>
      </c>
      <c r="B364" s="1">
        <f>B363</f>
        <v>114001</v>
      </c>
      <c r="C364" s="1">
        <f>C363+1</f>
        <v>8</v>
      </c>
      <c r="D364" s="1">
        <f>D363*2</f>
        <v>1000</v>
      </c>
      <c r="E364" s="5" t="str">
        <f t="shared" si="35"/>
        <v>外功攻击+249;内功攻击+249</v>
      </c>
      <c r="F364" s="1" t="str">
        <f t="shared" ref="F364:G366" si="45">F363</f>
        <v>1+0;</v>
      </c>
      <c r="G364" s="1" t="str">
        <f t="shared" si="45"/>
        <v>西域火器·珠</v>
      </c>
      <c r="J364" s="5" t="s">
        <v>284</v>
      </c>
      <c r="K364" s="5" t="s">
        <v>293</v>
      </c>
    </row>
    <row r="365" spans="1:11" x14ac:dyDescent="0.25">
      <c r="A365" s="1">
        <f>A364+1</f>
        <v>1140112</v>
      </c>
      <c r="B365" s="1">
        <f>B364</f>
        <v>114001</v>
      </c>
      <c r="C365" s="1">
        <f>C364+1</f>
        <v>9</v>
      </c>
      <c r="D365" s="1">
        <f>D364+100</f>
        <v>1100</v>
      </c>
      <c r="E365" s="5" t="str">
        <f t="shared" si="35"/>
        <v>外功攻击+403;内功攻击+403</v>
      </c>
      <c r="F365" s="1" t="str">
        <f t="shared" si="45"/>
        <v>1+0;</v>
      </c>
      <c r="G365" s="1" t="str">
        <f t="shared" si="45"/>
        <v>西域火器·珠</v>
      </c>
      <c r="J365" s="5" t="s">
        <v>285</v>
      </c>
      <c r="K365" s="5" t="s">
        <v>294</v>
      </c>
    </row>
    <row r="366" spans="1:11" x14ac:dyDescent="0.25">
      <c r="A366" s="1">
        <f>A365+1</f>
        <v>1140113</v>
      </c>
      <c r="B366" s="1">
        <f>B365</f>
        <v>114001</v>
      </c>
      <c r="C366" s="1">
        <f>C365+1</f>
        <v>10</v>
      </c>
      <c r="D366" s="1">
        <f>D365+100</f>
        <v>1200</v>
      </c>
      <c r="E366" s="5" t="str">
        <f t="shared" si="35"/>
        <v>外功攻击+503;内功攻击+503</v>
      </c>
      <c r="F366" s="1" t="str">
        <f t="shared" si="45"/>
        <v>1+0;</v>
      </c>
      <c r="G366" s="1" t="str">
        <f t="shared" si="45"/>
        <v>西域火器·珠</v>
      </c>
      <c r="J366" s="5" t="s">
        <v>308</v>
      </c>
      <c r="K366" s="5" t="s">
        <v>309</v>
      </c>
    </row>
    <row r="367" spans="1:11" x14ac:dyDescent="0.25">
      <c r="A367" s="1">
        <v>1120101</v>
      </c>
      <c r="B367" s="1">
        <v>112001</v>
      </c>
      <c r="C367" s="1">
        <v>1</v>
      </c>
      <c r="D367" s="1">
        <v>0</v>
      </c>
      <c r="E367" s="5">
        <f t="shared" si="35"/>
        <v>0</v>
      </c>
      <c r="F367" s="1" t="s">
        <v>14</v>
      </c>
      <c r="G367" s="1" t="s">
        <v>45</v>
      </c>
      <c r="J367" s="5">
        <v>0</v>
      </c>
      <c r="K367" s="5">
        <v>0</v>
      </c>
    </row>
    <row r="368" spans="1:11" x14ac:dyDescent="0.25">
      <c r="A368" s="1">
        <v>1120102</v>
      </c>
      <c r="B368" s="1">
        <v>112001</v>
      </c>
      <c r="C368" s="1">
        <v>1</v>
      </c>
      <c r="D368" s="1">
        <v>10</v>
      </c>
      <c r="E368" s="5" t="str">
        <f t="shared" si="35"/>
        <v>外功攻击+3;内功攻击+3</v>
      </c>
      <c r="F368" s="1" t="s">
        <v>14</v>
      </c>
      <c r="G368" s="1" t="s">
        <v>45</v>
      </c>
      <c r="J368" s="5" t="s">
        <v>16</v>
      </c>
      <c r="K368" s="5" t="s">
        <v>286</v>
      </c>
    </row>
    <row r="369" spans="1:11" x14ac:dyDescent="0.25">
      <c r="A369" s="1">
        <v>1120103</v>
      </c>
      <c r="B369" s="1">
        <v>112001</v>
      </c>
      <c r="C369" s="1">
        <v>1</v>
      </c>
      <c r="D369" s="1">
        <v>0</v>
      </c>
      <c r="E369" s="5">
        <f t="shared" si="35"/>
        <v>0</v>
      </c>
      <c r="F369" s="1" t="s">
        <v>14</v>
      </c>
      <c r="G369" s="1" t="s">
        <v>45</v>
      </c>
      <c r="J369" s="5">
        <v>0</v>
      </c>
      <c r="K369" s="5">
        <v>0</v>
      </c>
    </row>
    <row r="370" spans="1:11" x14ac:dyDescent="0.25">
      <c r="A370" s="1">
        <v>1120104</v>
      </c>
      <c r="B370" s="1">
        <v>112001</v>
      </c>
      <c r="C370" s="1">
        <v>2</v>
      </c>
      <c r="D370" s="1">
        <v>50</v>
      </c>
      <c r="E370" s="5" t="str">
        <f t="shared" si="35"/>
        <v>外功攻击+5;内功攻击+5</v>
      </c>
      <c r="F370" s="1" t="s">
        <v>14</v>
      </c>
      <c r="G370" s="1" t="s">
        <v>45</v>
      </c>
      <c r="J370" s="5" t="s">
        <v>18</v>
      </c>
      <c r="K370" s="5" t="s">
        <v>287</v>
      </c>
    </row>
    <row r="371" spans="1:11" x14ac:dyDescent="0.25">
      <c r="A371" s="1">
        <v>1120105</v>
      </c>
      <c r="B371" s="1">
        <v>112001</v>
      </c>
      <c r="C371" s="1">
        <v>1</v>
      </c>
      <c r="D371" s="1">
        <v>0</v>
      </c>
      <c r="E371" s="5">
        <f t="shared" si="35"/>
        <v>0</v>
      </c>
      <c r="F371" s="1" t="s">
        <v>14</v>
      </c>
      <c r="G371" s="1" t="s">
        <v>45</v>
      </c>
      <c r="J371" s="5">
        <v>0</v>
      </c>
      <c r="K371" s="5">
        <v>0</v>
      </c>
    </row>
    <row r="372" spans="1:11" x14ac:dyDescent="0.25">
      <c r="A372" s="1">
        <v>1120106</v>
      </c>
      <c r="B372" s="1">
        <v>112001</v>
      </c>
      <c r="C372" s="1">
        <v>3</v>
      </c>
      <c r="D372" s="1">
        <v>100</v>
      </c>
      <c r="E372" s="5" t="str">
        <f t="shared" ref="E372:E430" si="46">IF(J372=0,J372,J372&amp;";"&amp;K372)</f>
        <v>外功攻击+27;内功攻击+27</v>
      </c>
      <c r="F372" s="1" t="s">
        <v>14</v>
      </c>
      <c r="G372" s="1" t="s">
        <v>45</v>
      </c>
      <c r="J372" s="5" t="s">
        <v>19</v>
      </c>
      <c r="K372" s="5" t="s">
        <v>288</v>
      </c>
    </row>
    <row r="373" spans="1:11" x14ac:dyDescent="0.25">
      <c r="A373" s="1">
        <v>1120107</v>
      </c>
      <c r="B373" s="1">
        <v>112001</v>
      </c>
      <c r="C373" s="1">
        <v>4</v>
      </c>
      <c r="D373" s="1">
        <v>200</v>
      </c>
      <c r="E373" s="5" t="str">
        <f t="shared" si="46"/>
        <v>外功攻击+30;内功攻击+30</v>
      </c>
      <c r="F373" s="1" t="s">
        <v>14</v>
      </c>
      <c r="G373" s="1" t="s">
        <v>45</v>
      </c>
      <c r="J373" s="5" t="s">
        <v>20</v>
      </c>
      <c r="K373" s="5" t="s">
        <v>289</v>
      </c>
    </row>
    <row r="374" spans="1:11" x14ac:dyDescent="0.25">
      <c r="A374" s="1">
        <v>1120108</v>
      </c>
      <c r="B374" s="1">
        <v>112001</v>
      </c>
      <c r="C374" s="1">
        <v>5</v>
      </c>
      <c r="D374" s="1">
        <v>300</v>
      </c>
      <c r="E374" s="5" t="str">
        <f t="shared" si="46"/>
        <v>外功攻击+55;内功攻击+55</v>
      </c>
      <c r="F374" s="1" t="s">
        <v>14</v>
      </c>
      <c r="G374" s="1" t="s">
        <v>45</v>
      </c>
      <c r="J374" s="5" t="s">
        <v>21</v>
      </c>
      <c r="K374" s="5" t="s">
        <v>290</v>
      </c>
    </row>
    <row r="375" spans="1:11" x14ac:dyDescent="0.25">
      <c r="A375" s="1">
        <v>1120109</v>
      </c>
      <c r="B375" s="1">
        <v>112001</v>
      </c>
      <c r="C375" s="1">
        <v>6</v>
      </c>
      <c r="D375" s="1">
        <v>400</v>
      </c>
      <c r="E375" s="5" t="str">
        <f t="shared" si="46"/>
        <v>外功攻击+80;内功攻击+80</v>
      </c>
      <c r="F375" s="1" t="s">
        <v>14</v>
      </c>
      <c r="G375" s="1" t="s">
        <v>45</v>
      </c>
      <c r="J375" s="5" t="s">
        <v>22</v>
      </c>
      <c r="K375" s="5" t="s">
        <v>291</v>
      </c>
    </row>
    <row r="376" spans="1:11" x14ac:dyDescent="0.25">
      <c r="A376" s="1">
        <v>1120110</v>
      </c>
      <c r="B376" s="1">
        <v>112001</v>
      </c>
      <c r="C376" s="1">
        <v>7</v>
      </c>
      <c r="D376" s="1">
        <v>500</v>
      </c>
      <c r="E376" s="5" t="str">
        <f t="shared" si="46"/>
        <v>外功攻击+125;内功攻击+125</v>
      </c>
      <c r="F376" s="1" t="s">
        <v>14</v>
      </c>
      <c r="G376" s="1" t="s">
        <v>45</v>
      </c>
      <c r="J376" s="5" t="s">
        <v>23</v>
      </c>
      <c r="K376" s="5" t="s">
        <v>292</v>
      </c>
    </row>
    <row r="377" spans="1:11" x14ac:dyDescent="0.25">
      <c r="A377" s="1">
        <f>A376+1</f>
        <v>1120111</v>
      </c>
      <c r="B377" s="1">
        <f>B376</f>
        <v>112001</v>
      </c>
      <c r="C377" s="1">
        <f>C376+1</f>
        <v>8</v>
      </c>
      <c r="D377" s="1">
        <f>D376*2</f>
        <v>1000</v>
      </c>
      <c r="E377" s="5" t="str">
        <f t="shared" si="46"/>
        <v>外功攻击+249;内功攻击+249</v>
      </c>
      <c r="F377" s="1" t="str">
        <f t="shared" ref="F377:G379" si="47">F376</f>
        <v>1+0;</v>
      </c>
      <c r="G377" s="1" t="str">
        <f t="shared" si="47"/>
        <v>锋狩控弦决</v>
      </c>
      <c r="J377" s="5" t="s">
        <v>284</v>
      </c>
      <c r="K377" s="5" t="s">
        <v>293</v>
      </c>
    </row>
    <row r="378" spans="1:11" x14ac:dyDescent="0.25">
      <c r="A378" s="1">
        <f>A377+1</f>
        <v>1120112</v>
      </c>
      <c r="B378" s="1">
        <f>B377</f>
        <v>112001</v>
      </c>
      <c r="C378" s="1">
        <f>C377+1</f>
        <v>9</v>
      </c>
      <c r="D378" s="1">
        <f>D377+100</f>
        <v>1100</v>
      </c>
      <c r="E378" s="5" t="str">
        <f t="shared" si="46"/>
        <v>外功攻击+403;内功攻击+403</v>
      </c>
      <c r="F378" s="1" t="str">
        <f t="shared" si="47"/>
        <v>1+0;</v>
      </c>
      <c r="G378" s="1" t="str">
        <f t="shared" si="47"/>
        <v>锋狩控弦决</v>
      </c>
      <c r="J378" s="5" t="s">
        <v>285</v>
      </c>
      <c r="K378" s="5" t="s">
        <v>294</v>
      </c>
    </row>
    <row r="379" spans="1:11" x14ac:dyDescent="0.25">
      <c r="A379" s="1">
        <f>A378+1</f>
        <v>1120113</v>
      </c>
      <c r="B379" s="1">
        <f>B378</f>
        <v>112001</v>
      </c>
      <c r="C379" s="1">
        <f>C378+1</f>
        <v>10</v>
      </c>
      <c r="D379" s="1">
        <f>D378+100</f>
        <v>1200</v>
      </c>
      <c r="E379" s="5" t="str">
        <f t="shared" si="46"/>
        <v>外功攻击+503;内功攻击+503</v>
      </c>
      <c r="F379" s="1" t="str">
        <f t="shared" si="47"/>
        <v>1+0;</v>
      </c>
      <c r="G379" s="1" t="str">
        <f t="shared" si="47"/>
        <v>锋狩控弦决</v>
      </c>
      <c r="J379" s="5" t="s">
        <v>308</v>
      </c>
      <c r="K379" s="5" t="s">
        <v>309</v>
      </c>
    </row>
    <row r="380" spans="1:11" x14ac:dyDescent="0.25">
      <c r="A380" s="1">
        <v>1130101</v>
      </c>
      <c r="B380" s="1">
        <v>113001</v>
      </c>
      <c r="C380" s="1">
        <v>1</v>
      </c>
      <c r="D380" s="1">
        <v>0</v>
      </c>
      <c r="E380" s="5">
        <f t="shared" si="46"/>
        <v>0</v>
      </c>
      <c r="F380" s="1" t="s">
        <v>14</v>
      </c>
      <c r="G380" s="1" t="s">
        <v>265</v>
      </c>
      <c r="J380" s="5">
        <v>0</v>
      </c>
      <c r="K380" s="5">
        <v>0</v>
      </c>
    </row>
    <row r="381" spans="1:11" x14ac:dyDescent="0.25">
      <c r="A381" s="1">
        <v>1130102</v>
      </c>
      <c r="B381" s="1">
        <v>113001</v>
      </c>
      <c r="C381" s="1">
        <v>1</v>
      </c>
      <c r="D381" s="1">
        <v>10</v>
      </c>
      <c r="E381" s="5" t="str">
        <f t="shared" si="46"/>
        <v>外功攻击+3;内功攻击+3</v>
      </c>
      <c r="F381" s="1" t="s">
        <v>14</v>
      </c>
      <c r="G381" s="1" t="s">
        <v>265</v>
      </c>
      <c r="J381" s="5" t="s">
        <v>16</v>
      </c>
      <c r="K381" s="5" t="s">
        <v>286</v>
      </c>
    </row>
    <row r="382" spans="1:11" x14ac:dyDescent="0.25">
      <c r="A382" s="1">
        <v>1130103</v>
      </c>
      <c r="B382" s="1">
        <v>113001</v>
      </c>
      <c r="C382" s="1">
        <v>1</v>
      </c>
      <c r="D382" s="1">
        <v>0</v>
      </c>
      <c r="E382" s="5">
        <f t="shared" si="46"/>
        <v>0</v>
      </c>
      <c r="F382" s="1" t="s">
        <v>14</v>
      </c>
      <c r="G382" s="1" t="s">
        <v>265</v>
      </c>
      <c r="J382" s="5">
        <v>0</v>
      </c>
      <c r="K382" s="5">
        <v>0</v>
      </c>
    </row>
    <row r="383" spans="1:11" x14ac:dyDescent="0.25">
      <c r="A383" s="1">
        <v>1130104</v>
      </c>
      <c r="B383" s="1">
        <v>113001</v>
      </c>
      <c r="C383" s="1">
        <v>2</v>
      </c>
      <c r="D383" s="1">
        <v>50</v>
      </c>
      <c r="E383" s="5" t="str">
        <f t="shared" si="46"/>
        <v>外功攻击+5;内功攻击+5</v>
      </c>
      <c r="F383" s="1" t="s">
        <v>14</v>
      </c>
      <c r="G383" s="1" t="s">
        <v>265</v>
      </c>
      <c r="J383" s="5" t="s">
        <v>18</v>
      </c>
      <c r="K383" s="5" t="s">
        <v>287</v>
      </c>
    </row>
    <row r="384" spans="1:11" x14ac:dyDescent="0.25">
      <c r="A384" s="1">
        <v>1130105</v>
      </c>
      <c r="B384" s="1">
        <v>113001</v>
      </c>
      <c r="C384" s="1">
        <v>1</v>
      </c>
      <c r="D384" s="1">
        <v>0</v>
      </c>
      <c r="E384" s="5">
        <f t="shared" si="46"/>
        <v>0</v>
      </c>
      <c r="F384" s="1" t="s">
        <v>14</v>
      </c>
      <c r="G384" s="1" t="s">
        <v>265</v>
      </c>
      <c r="J384" s="5">
        <v>0</v>
      </c>
      <c r="K384" s="5">
        <v>0</v>
      </c>
    </row>
    <row r="385" spans="1:11" x14ac:dyDescent="0.25">
      <c r="A385" s="1">
        <v>1130106</v>
      </c>
      <c r="B385" s="1">
        <v>113001</v>
      </c>
      <c r="C385" s="1">
        <v>3</v>
      </c>
      <c r="D385" s="1">
        <v>100</v>
      </c>
      <c r="E385" s="5" t="str">
        <f t="shared" si="46"/>
        <v>外功攻击+27;内功攻击+27</v>
      </c>
      <c r="F385" s="1" t="s">
        <v>14</v>
      </c>
      <c r="G385" s="1" t="s">
        <v>265</v>
      </c>
      <c r="J385" s="5" t="s">
        <v>19</v>
      </c>
      <c r="K385" s="5" t="s">
        <v>288</v>
      </c>
    </row>
    <row r="386" spans="1:11" x14ac:dyDescent="0.25">
      <c r="A386" s="1">
        <v>1130107</v>
      </c>
      <c r="B386" s="1">
        <v>113001</v>
      </c>
      <c r="C386" s="1">
        <v>4</v>
      </c>
      <c r="D386" s="1">
        <v>200</v>
      </c>
      <c r="E386" s="5" t="str">
        <f t="shared" si="46"/>
        <v>外功攻击+30;内功攻击+30</v>
      </c>
      <c r="F386" s="1" t="s">
        <v>14</v>
      </c>
      <c r="G386" s="1" t="s">
        <v>265</v>
      </c>
      <c r="J386" s="5" t="s">
        <v>20</v>
      </c>
      <c r="K386" s="5" t="s">
        <v>289</v>
      </c>
    </row>
    <row r="387" spans="1:11" x14ac:dyDescent="0.25">
      <c r="A387" s="1">
        <v>1130108</v>
      </c>
      <c r="B387" s="1">
        <v>113001</v>
      </c>
      <c r="C387" s="1">
        <v>5</v>
      </c>
      <c r="D387" s="1">
        <v>300</v>
      </c>
      <c r="E387" s="5" t="str">
        <f t="shared" si="46"/>
        <v>外功攻击+55;内功攻击+55</v>
      </c>
      <c r="F387" s="1" t="s">
        <v>14</v>
      </c>
      <c r="G387" s="1" t="s">
        <v>265</v>
      </c>
      <c r="J387" s="5" t="s">
        <v>21</v>
      </c>
      <c r="K387" s="5" t="s">
        <v>290</v>
      </c>
    </row>
    <row r="388" spans="1:11" x14ac:dyDescent="0.25">
      <c r="A388" s="1">
        <v>1130109</v>
      </c>
      <c r="B388" s="1">
        <v>113001</v>
      </c>
      <c r="C388" s="1">
        <v>6</v>
      </c>
      <c r="D388" s="1">
        <v>400</v>
      </c>
      <c r="E388" s="5" t="str">
        <f t="shared" si="46"/>
        <v>外功攻击+80;内功攻击+80</v>
      </c>
      <c r="F388" s="1" t="s">
        <v>14</v>
      </c>
      <c r="G388" s="1" t="s">
        <v>265</v>
      </c>
      <c r="J388" s="5" t="s">
        <v>22</v>
      </c>
      <c r="K388" s="5" t="s">
        <v>291</v>
      </c>
    </row>
    <row r="389" spans="1:11" x14ac:dyDescent="0.25">
      <c r="A389" s="1">
        <v>1130110</v>
      </c>
      <c r="B389" s="1">
        <v>113001</v>
      </c>
      <c r="C389" s="1">
        <v>7</v>
      </c>
      <c r="D389" s="1">
        <v>500</v>
      </c>
      <c r="E389" s="5" t="str">
        <f t="shared" si="46"/>
        <v>外功攻击+125;内功攻击+125</v>
      </c>
      <c r="F389" s="1" t="s">
        <v>14</v>
      </c>
      <c r="G389" s="1" t="s">
        <v>265</v>
      </c>
      <c r="J389" s="5" t="s">
        <v>23</v>
      </c>
      <c r="K389" s="5" t="s">
        <v>292</v>
      </c>
    </row>
    <row r="390" spans="1:11" x14ac:dyDescent="0.25">
      <c r="A390" s="1">
        <f>A389+1</f>
        <v>1130111</v>
      </c>
      <c r="B390" s="1">
        <f>B389</f>
        <v>113001</v>
      </c>
      <c r="C390" s="1">
        <f>C389+1</f>
        <v>8</v>
      </c>
      <c r="D390" s="1">
        <f>D389*2</f>
        <v>1000</v>
      </c>
      <c r="E390" s="5" t="str">
        <f t="shared" si="46"/>
        <v>外功攻击+249;内功攻击+249</v>
      </c>
      <c r="F390" s="1" t="str">
        <f t="shared" ref="F390:G392" si="48">F389</f>
        <v>1+0;</v>
      </c>
      <c r="G390" s="1" t="str">
        <f t="shared" si="48"/>
        <v>鳞五净蛊鞭</v>
      </c>
      <c r="J390" s="5" t="s">
        <v>284</v>
      </c>
      <c r="K390" s="5" t="s">
        <v>293</v>
      </c>
    </row>
    <row r="391" spans="1:11" x14ac:dyDescent="0.25">
      <c r="A391" s="1">
        <f>A390+1</f>
        <v>1130112</v>
      </c>
      <c r="B391" s="1">
        <f>B390</f>
        <v>113001</v>
      </c>
      <c r="C391" s="1">
        <f>C390+1</f>
        <v>9</v>
      </c>
      <c r="D391" s="1">
        <f>D390+100</f>
        <v>1100</v>
      </c>
      <c r="E391" s="5" t="str">
        <f t="shared" si="46"/>
        <v>外功攻击+403;内功攻击+403</v>
      </c>
      <c r="F391" s="1" t="str">
        <f t="shared" si="48"/>
        <v>1+0;</v>
      </c>
      <c r="G391" s="1" t="str">
        <f t="shared" si="48"/>
        <v>鳞五净蛊鞭</v>
      </c>
      <c r="J391" s="5" t="s">
        <v>285</v>
      </c>
      <c r="K391" s="5" t="s">
        <v>294</v>
      </c>
    </row>
    <row r="392" spans="1:11" x14ac:dyDescent="0.25">
      <c r="A392" s="1">
        <f>A391+1</f>
        <v>1130113</v>
      </c>
      <c r="B392" s="1">
        <f>B391</f>
        <v>113001</v>
      </c>
      <c r="C392" s="1">
        <f>C391+1</f>
        <v>10</v>
      </c>
      <c r="D392" s="1">
        <f>D391+100</f>
        <v>1200</v>
      </c>
      <c r="E392" s="5" t="str">
        <f t="shared" ref="E392:E404" si="49">IF(J392=0,J392,J392&amp;";"&amp;K392)</f>
        <v>外功攻击+503;内功攻击+503</v>
      </c>
      <c r="F392" s="1" t="str">
        <f t="shared" si="48"/>
        <v>1+0;</v>
      </c>
      <c r="G392" s="1" t="str">
        <f t="shared" si="48"/>
        <v>鳞五净蛊鞭</v>
      </c>
      <c r="J392" s="5" t="s">
        <v>308</v>
      </c>
      <c r="K392" s="5" t="s">
        <v>309</v>
      </c>
    </row>
    <row r="393" spans="1:11" x14ac:dyDescent="0.25">
      <c r="A393" s="1">
        <v>1130201</v>
      </c>
      <c r="B393" s="1">
        <v>113002</v>
      </c>
      <c r="C393" s="1">
        <v>1</v>
      </c>
      <c r="D393" s="1">
        <v>0</v>
      </c>
      <c r="E393" s="5">
        <f t="shared" si="49"/>
        <v>0</v>
      </c>
      <c r="F393" s="1" t="s">
        <v>14</v>
      </c>
      <c r="G393" s="1" t="s">
        <v>406</v>
      </c>
      <c r="J393" s="5">
        <v>0</v>
      </c>
      <c r="K393" s="5">
        <v>0</v>
      </c>
    </row>
    <row r="394" spans="1:11" x14ac:dyDescent="0.25">
      <c r="A394" s="1">
        <v>1130202</v>
      </c>
      <c r="B394" s="1">
        <v>113002</v>
      </c>
      <c r="C394" s="1">
        <v>1</v>
      </c>
      <c r="D394" s="1">
        <v>10</v>
      </c>
      <c r="E394" s="5" t="str">
        <f t="shared" si="49"/>
        <v>外功攻击+3;内功攻击+3</v>
      </c>
      <c r="F394" s="1" t="s">
        <v>14</v>
      </c>
      <c r="G394" s="1" t="s">
        <v>406</v>
      </c>
      <c r="J394" s="5" t="s">
        <v>16</v>
      </c>
      <c r="K394" s="5" t="s">
        <v>286</v>
      </c>
    </row>
    <row r="395" spans="1:11" x14ac:dyDescent="0.25">
      <c r="A395" s="1">
        <v>1130203</v>
      </c>
      <c r="B395" s="1">
        <v>113002</v>
      </c>
      <c r="C395" s="1">
        <v>1</v>
      </c>
      <c r="D395" s="1">
        <v>0</v>
      </c>
      <c r="E395" s="5">
        <f t="shared" si="49"/>
        <v>0</v>
      </c>
      <c r="F395" s="1" t="s">
        <v>14</v>
      </c>
      <c r="G395" s="1" t="s">
        <v>406</v>
      </c>
      <c r="J395" s="5">
        <v>0</v>
      </c>
      <c r="K395" s="5">
        <v>0</v>
      </c>
    </row>
    <row r="396" spans="1:11" x14ac:dyDescent="0.25">
      <c r="A396" s="1">
        <v>1130204</v>
      </c>
      <c r="B396" s="1">
        <v>113002</v>
      </c>
      <c r="C396" s="1">
        <v>2</v>
      </c>
      <c r="D396" s="1">
        <v>50</v>
      </c>
      <c r="E396" s="5" t="str">
        <f t="shared" si="49"/>
        <v>外功攻击+5;内功攻击+5</v>
      </c>
      <c r="F396" s="1" t="s">
        <v>14</v>
      </c>
      <c r="G396" s="1" t="s">
        <v>406</v>
      </c>
      <c r="J396" s="5" t="s">
        <v>18</v>
      </c>
      <c r="K396" s="5" t="s">
        <v>287</v>
      </c>
    </row>
    <row r="397" spans="1:11" x14ac:dyDescent="0.25">
      <c r="A397" s="1">
        <v>1130205</v>
      </c>
      <c r="B397" s="1">
        <v>113002</v>
      </c>
      <c r="C397" s="1">
        <v>1</v>
      </c>
      <c r="D397" s="1">
        <v>0</v>
      </c>
      <c r="E397" s="5">
        <f t="shared" si="49"/>
        <v>0</v>
      </c>
      <c r="F397" s="1" t="s">
        <v>14</v>
      </c>
      <c r="G397" s="1" t="s">
        <v>406</v>
      </c>
      <c r="J397" s="5">
        <v>0</v>
      </c>
      <c r="K397" s="5">
        <v>0</v>
      </c>
    </row>
    <row r="398" spans="1:11" x14ac:dyDescent="0.25">
      <c r="A398" s="1">
        <v>1130206</v>
      </c>
      <c r="B398" s="1">
        <v>113002</v>
      </c>
      <c r="C398" s="1">
        <v>3</v>
      </c>
      <c r="D398" s="1">
        <v>100</v>
      </c>
      <c r="E398" s="5" t="str">
        <f t="shared" si="49"/>
        <v>外功攻击+27;内功攻击+27</v>
      </c>
      <c r="F398" s="1" t="s">
        <v>14</v>
      </c>
      <c r="G398" s="1" t="s">
        <v>406</v>
      </c>
      <c r="J398" s="5" t="s">
        <v>19</v>
      </c>
      <c r="K398" s="5" t="s">
        <v>288</v>
      </c>
    </row>
    <row r="399" spans="1:11" x14ac:dyDescent="0.25">
      <c r="A399" s="1">
        <v>1130207</v>
      </c>
      <c r="B399" s="1">
        <v>113002</v>
      </c>
      <c r="C399" s="1">
        <v>4</v>
      </c>
      <c r="D399" s="1">
        <v>200</v>
      </c>
      <c r="E399" s="5" t="str">
        <f t="shared" si="49"/>
        <v>外功攻击+30;内功攻击+30</v>
      </c>
      <c r="F399" s="1" t="s">
        <v>14</v>
      </c>
      <c r="G399" s="1" t="s">
        <v>406</v>
      </c>
      <c r="J399" s="5" t="s">
        <v>20</v>
      </c>
      <c r="K399" s="5" t="s">
        <v>289</v>
      </c>
    </row>
    <row r="400" spans="1:11" x14ac:dyDescent="0.25">
      <c r="A400" s="1">
        <v>1130208</v>
      </c>
      <c r="B400" s="1">
        <v>113002</v>
      </c>
      <c r="C400" s="1">
        <v>5</v>
      </c>
      <c r="D400" s="1">
        <v>300</v>
      </c>
      <c r="E400" s="5" t="str">
        <f t="shared" si="49"/>
        <v>外功攻击+55;内功攻击+55</v>
      </c>
      <c r="F400" s="1" t="s">
        <v>14</v>
      </c>
      <c r="G400" s="1" t="s">
        <v>406</v>
      </c>
      <c r="J400" s="5" t="s">
        <v>21</v>
      </c>
      <c r="K400" s="5" t="s">
        <v>290</v>
      </c>
    </row>
    <row r="401" spans="1:11" x14ac:dyDescent="0.25">
      <c r="A401" s="1">
        <v>1130209</v>
      </c>
      <c r="B401" s="1">
        <v>113002</v>
      </c>
      <c r="C401" s="1">
        <v>6</v>
      </c>
      <c r="D401" s="1">
        <v>400</v>
      </c>
      <c r="E401" s="5" t="str">
        <f t="shared" si="49"/>
        <v>外功攻击+80;内功攻击+80</v>
      </c>
      <c r="F401" s="1" t="s">
        <v>14</v>
      </c>
      <c r="G401" s="1" t="s">
        <v>406</v>
      </c>
      <c r="J401" s="5" t="s">
        <v>22</v>
      </c>
      <c r="K401" s="5" t="s">
        <v>291</v>
      </c>
    </row>
    <row r="402" spans="1:11" x14ac:dyDescent="0.25">
      <c r="A402" s="1">
        <v>1130210</v>
      </c>
      <c r="B402" s="1">
        <v>113002</v>
      </c>
      <c r="C402" s="1">
        <v>7</v>
      </c>
      <c r="D402" s="1">
        <v>500</v>
      </c>
      <c r="E402" s="5" t="str">
        <f t="shared" si="49"/>
        <v>外功攻击+125;内功攻击+125</v>
      </c>
      <c r="F402" s="1" t="s">
        <v>14</v>
      </c>
      <c r="G402" s="1" t="s">
        <v>406</v>
      </c>
      <c r="J402" s="5" t="s">
        <v>23</v>
      </c>
      <c r="K402" s="5" t="s">
        <v>292</v>
      </c>
    </row>
    <row r="403" spans="1:11" x14ac:dyDescent="0.25">
      <c r="A403" s="1">
        <v>1130211</v>
      </c>
      <c r="B403" s="1">
        <v>113002</v>
      </c>
      <c r="C403" s="1">
        <f>C402+1</f>
        <v>8</v>
      </c>
      <c r="D403" s="1">
        <f>D402*2</f>
        <v>1000</v>
      </c>
      <c r="E403" s="5" t="str">
        <f t="shared" si="49"/>
        <v>外功攻击+249;内功攻击+249</v>
      </c>
      <c r="F403" s="1" t="str">
        <f t="shared" ref="F403:G403" si="50">F402</f>
        <v>1+0;</v>
      </c>
      <c r="G403" s="1" t="s">
        <v>406</v>
      </c>
      <c r="J403" s="5" t="s">
        <v>284</v>
      </c>
      <c r="K403" s="5" t="s">
        <v>293</v>
      </c>
    </row>
    <row r="404" spans="1:11" x14ac:dyDescent="0.25">
      <c r="A404" s="1">
        <v>1130212</v>
      </c>
      <c r="B404" s="1">
        <v>113002</v>
      </c>
      <c r="C404" s="1">
        <f>C403+1</f>
        <v>9</v>
      </c>
      <c r="D404" s="1">
        <f>D403+100</f>
        <v>1100</v>
      </c>
      <c r="E404" s="5" t="str">
        <f t="shared" si="49"/>
        <v>外功攻击+403;内功攻击+403</v>
      </c>
      <c r="F404" s="1" t="str">
        <f t="shared" ref="F404:G404" si="51">F403</f>
        <v>1+0;</v>
      </c>
      <c r="G404" s="1" t="s">
        <v>406</v>
      </c>
      <c r="J404" s="5" t="s">
        <v>285</v>
      </c>
      <c r="K404" s="5" t="s">
        <v>294</v>
      </c>
    </row>
    <row r="405" spans="1:11" x14ac:dyDescent="0.25">
      <c r="A405" s="1">
        <v>1130213</v>
      </c>
      <c r="B405" s="1">
        <v>113002</v>
      </c>
      <c r="C405" s="1">
        <f>C404+1</f>
        <v>10</v>
      </c>
      <c r="D405" s="1">
        <f>D404+100</f>
        <v>1200</v>
      </c>
      <c r="E405" s="5" t="str">
        <f t="shared" ref="E405" si="52">IF(J405=0,J405,J405&amp;";"&amp;K405)</f>
        <v>外功攻击+503;内功攻击+503</v>
      </c>
      <c r="F405" s="1" t="str">
        <f t="shared" ref="F405:G405" si="53">F404</f>
        <v>1+0;</v>
      </c>
      <c r="G405" s="1" t="s">
        <v>406</v>
      </c>
      <c r="J405" s="5" t="s">
        <v>308</v>
      </c>
      <c r="K405" s="5" t="s">
        <v>309</v>
      </c>
    </row>
    <row r="406" spans="1:11" x14ac:dyDescent="0.25">
      <c r="A406" s="1">
        <v>1150101</v>
      </c>
      <c r="B406" s="1">
        <v>115001</v>
      </c>
      <c r="C406" s="1">
        <v>1</v>
      </c>
      <c r="D406" s="1">
        <v>0</v>
      </c>
      <c r="E406" s="5">
        <f t="shared" si="46"/>
        <v>0</v>
      </c>
      <c r="F406" s="1" t="s">
        <v>14</v>
      </c>
      <c r="G406" s="1" t="s">
        <v>46</v>
      </c>
      <c r="J406" s="5">
        <v>0</v>
      </c>
      <c r="K406" s="5">
        <v>0</v>
      </c>
    </row>
    <row r="407" spans="1:11" x14ac:dyDescent="0.25">
      <c r="A407" s="1">
        <v>1150102</v>
      </c>
      <c r="B407" s="1">
        <v>115001</v>
      </c>
      <c r="C407" s="1">
        <v>1</v>
      </c>
      <c r="D407" s="1">
        <v>10</v>
      </c>
      <c r="E407" s="5" t="str">
        <f t="shared" si="46"/>
        <v>外功攻击+3;内功攻击+3</v>
      </c>
      <c r="F407" s="1" t="s">
        <v>14</v>
      </c>
      <c r="G407" s="1" t="s">
        <v>46</v>
      </c>
      <c r="J407" s="5" t="s">
        <v>16</v>
      </c>
      <c r="K407" s="5" t="s">
        <v>286</v>
      </c>
    </row>
    <row r="408" spans="1:11" x14ac:dyDescent="0.25">
      <c r="A408" s="1">
        <v>1150103</v>
      </c>
      <c r="B408" s="1">
        <v>115001</v>
      </c>
      <c r="C408" s="1">
        <v>1</v>
      </c>
      <c r="D408" s="1">
        <v>0</v>
      </c>
      <c r="E408" s="5">
        <f t="shared" si="46"/>
        <v>0</v>
      </c>
      <c r="F408" s="1" t="s">
        <v>14</v>
      </c>
      <c r="G408" s="1" t="s">
        <v>46</v>
      </c>
      <c r="J408" s="5">
        <v>0</v>
      </c>
      <c r="K408" s="5">
        <v>0</v>
      </c>
    </row>
    <row r="409" spans="1:11" x14ac:dyDescent="0.25">
      <c r="A409" s="1">
        <v>1150104</v>
      </c>
      <c r="B409" s="1">
        <v>115001</v>
      </c>
      <c r="C409" s="1">
        <v>2</v>
      </c>
      <c r="D409" s="1">
        <v>50</v>
      </c>
      <c r="E409" s="5" t="str">
        <f t="shared" si="46"/>
        <v>外功攻击+5;内功攻击+5</v>
      </c>
      <c r="F409" s="1" t="s">
        <v>14</v>
      </c>
      <c r="G409" s="1" t="s">
        <v>46</v>
      </c>
      <c r="J409" s="5" t="s">
        <v>18</v>
      </c>
      <c r="K409" s="5" t="s">
        <v>287</v>
      </c>
    </row>
    <row r="410" spans="1:11" x14ac:dyDescent="0.25">
      <c r="A410" s="1">
        <v>1150105</v>
      </c>
      <c r="B410" s="1">
        <v>115001</v>
      </c>
      <c r="C410" s="1">
        <v>1</v>
      </c>
      <c r="D410" s="1">
        <v>0</v>
      </c>
      <c r="E410" s="5">
        <f t="shared" si="46"/>
        <v>0</v>
      </c>
      <c r="F410" s="1" t="s">
        <v>14</v>
      </c>
      <c r="G410" s="1" t="s">
        <v>46</v>
      </c>
      <c r="J410" s="5">
        <v>0</v>
      </c>
      <c r="K410" s="5">
        <v>0</v>
      </c>
    </row>
    <row r="411" spans="1:11" x14ac:dyDescent="0.25">
      <c r="A411" s="1">
        <v>1150106</v>
      </c>
      <c r="B411" s="1">
        <v>115001</v>
      </c>
      <c r="C411" s="1">
        <v>3</v>
      </c>
      <c r="D411" s="1">
        <v>100</v>
      </c>
      <c r="E411" s="5" t="str">
        <f t="shared" si="46"/>
        <v>外功攻击+27;内功攻击+27</v>
      </c>
      <c r="F411" s="1" t="s">
        <v>14</v>
      </c>
      <c r="G411" s="1" t="s">
        <v>46</v>
      </c>
      <c r="J411" s="5" t="s">
        <v>19</v>
      </c>
      <c r="K411" s="5" t="s">
        <v>288</v>
      </c>
    </row>
    <row r="412" spans="1:11" x14ac:dyDescent="0.25">
      <c r="A412" s="1">
        <v>1150107</v>
      </c>
      <c r="B412" s="1">
        <v>115001</v>
      </c>
      <c r="C412" s="1">
        <v>4</v>
      </c>
      <c r="D412" s="1">
        <v>200</v>
      </c>
      <c r="E412" s="5" t="str">
        <f t="shared" si="46"/>
        <v>外功攻击+30;内功攻击+30</v>
      </c>
      <c r="F412" s="1" t="s">
        <v>14</v>
      </c>
      <c r="G412" s="1" t="s">
        <v>46</v>
      </c>
      <c r="J412" s="5" t="s">
        <v>20</v>
      </c>
      <c r="K412" s="5" t="s">
        <v>289</v>
      </c>
    </row>
    <row r="413" spans="1:11" x14ac:dyDescent="0.25">
      <c r="A413" s="1">
        <v>1150108</v>
      </c>
      <c r="B413" s="1">
        <v>115001</v>
      </c>
      <c r="C413" s="1">
        <v>5</v>
      </c>
      <c r="D413" s="1">
        <v>300</v>
      </c>
      <c r="E413" s="5" t="str">
        <f t="shared" si="46"/>
        <v>外功攻击+55;内功攻击+55</v>
      </c>
      <c r="F413" s="1" t="s">
        <v>14</v>
      </c>
      <c r="G413" s="1" t="s">
        <v>46</v>
      </c>
      <c r="J413" s="5" t="s">
        <v>21</v>
      </c>
      <c r="K413" s="5" t="s">
        <v>290</v>
      </c>
    </row>
    <row r="414" spans="1:11" x14ac:dyDescent="0.25">
      <c r="A414" s="1">
        <v>1150109</v>
      </c>
      <c r="B414" s="1">
        <v>115001</v>
      </c>
      <c r="C414" s="1">
        <v>6</v>
      </c>
      <c r="D414" s="1">
        <v>400</v>
      </c>
      <c r="E414" s="5" t="str">
        <f t="shared" si="46"/>
        <v>外功攻击+80;内功攻击+80</v>
      </c>
      <c r="F414" s="1" t="s">
        <v>14</v>
      </c>
      <c r="G414" s="1" t="s">
        <v>46</v>
      </c>
      <c r="J414" s="5" t="s">
        <v>22</v>
      </c>
      <c r="K414" s="5" t="s">
        <v>291</v>
      </c>
    </row>
    <row r="415" spans="1:11" x14ac:dyDescent="0.25">
      <c r="A415" s="1">
        <v>1150110</v>
      </c>
      <c r="B415" s="1">
        <v>115001</v>
      </c>
      <c r="C415" s="1">
        <v>7</v>
      </c>
      <c r="D415" s="1">
        <v>500</v>
      </c>
      <c r="E415" s="5" t="str">
        <f t="shared" si="46"/>
        <v>外功攻击+125;内功攻击+125</v>
      </c>
      <c r="F415" s="1" t="s">
        <v>14</v>
      </c>
      <c r="G415" s="1" t="s">
        <v>46</v>
      </c>
      <c r="J415" s="5" t="s">
        <v>23</v>
      </c>
      <c r="K415" s="5" t="s">
        <v>292</v>
      </c>
    </row>
    <row r="416" spans="1:11" x14ac:dyDescent="0.25">
      <c r="A416" s="1">
        <f>A415+1</f>
        <v>1150111</v>
      </c>
      <c r="B416" s="1">
        <f>B415</f>
        <v>115001</v>
      </c>
      <c r="C416" s="1">
        <f>C415+1</f>
        <v>8</v>
      </c>
      <c r="D416" s="1">
        <f>D415*2</f>
        <v>1000</v>
      </c>
      <c r="E416" s="5" t="str">
        <f t="shared" si="46"/>
        <v>外功攻击+249;内功攻击+249</v>
      </c>
      <c r="F416" s="1" t="str">
        <f t="shared" ref="F416:G418" si="54">F415</f>
        <v>1+0;</v>
      </c>
      <c r="G416" s="1" t="str">
        <f t="shared" si="54"/>
        <v>七情缠蛊匕</v>
      </c>
      <c r="J416" s="5" t="s">
        <v>284</v>
      </c>
      <c r="K416" s="5" t="s">
        <v>293</v>
      </c>
    </row>
    <row r="417" spans="1:11" x14ac:dyDescent="0.25">
      <c r="A417" s="1">
        <f>A416+1</f>
        <v>1150112</v>
      </c>
      <c r="B417" s="1">
        <f>B416</f>
        <v>115001</v>
      </c>
      <c r="C417" s="1">
        <f>C416+1</f>
        <v>9</v>
      </c>
      <c r="D417" s="1">
        <f>D416+100</f>
        <v>1100</v>
      </c>
      <c r="E417" s="5" t="str">
        <f t="shared" si="46"/>
        <v>外功攻击+403;内功攻击+403</v>
      </c>
      <c r="F417" s="1" t="str">
        <f t="shared" si="54"/>
        <v>1+0;</v>
      </c>
      <c r="G417" s="1" t="str">
        <f t="shared" si="54"/>
        <v>七情缠蛊匕</v>
      </c>
      <c r="J417" s="5" t="s">
        <v>285</v>
      </c>
      <c r="K417" s="5" t="s">
        <v>294</v>
      </c>
    </row>
    <row r="418" spans="1:11" x14ac:dyDescent="0.25">
      <c r="A418" s="1">
        <f>A417+1</f>
        <v>1150113</v>
      </c>
      <c r="B418" s="1">
        <f>B417</f>
        <v>115001</v>
      </c>
      <c r="C418" s="1">
        <f>C417+1</f>
        <v>10</v>
      </c>
      <c r="D418" s="1">
        <f>D417+100</f>
        <v>1200</v>
      </c>
      <c r="E418" s="5" t="str">
        <f t="shared" si="46"/>
        <v>外功攻击+503;内功攻击+503</v>
      </c>
      <c r="F418" s="1" t="str">
        <f t="shared" si="54"/>
        <v>1+0;</v>
      </c>
      <c r="G418" s="1" t="str">
        <f t="shared" si="54"/>
        <v>七情缠蛊匕</v>
      </c>
      <c r="J418" s="5" t="s">
        <v>308</v>
      </c>
      <c r="K418" s="5" t="s">
        <v>309</v>
      </c>
    </row>
    <row r="419" spans="1:11" x14ac:dyDescent="0.25">
      <c r="A419" s="1">
        <v>1150201</v>
      </c>
      <c r="B419" s="1">
        <v>115002</v>
      </c>
      <c r="C419" s="1">
        <v>1</v>
      </c>
      <c r="D419" s="1">
        <v>0</v>
      </c>
      <c r="E419" s="5">
        <f t="shared" si="46"/>
        <v>0</v>
      </c>
      <c r="F419" s="1" t="s">
        <v>14</v>
      </c>
      <c r="G419" s="1" t="s">
        <v>47</v>
      </c>
      <c r="J419" s="5">
        <v>0</v>
      </c>
      <c r="K419" s="5">
        <v>0</v>
      </c>
    </row>
    <row r="420" spans="1:11" x14ac:dyDescent="0.25">
      <c r="A420" s="1">
        <v>1150202</v>
      </c>
      <c r="B420" s="1">
        <v>115002</v>
      </c>
      <c r="C420" s="1">
        <v>1</v>
      </c>
      <c r="D420" s="1">
        <v>10</v>
      </c>
      <c r="E420" s="5" t="str">
        <f t="shared" si="46"/>
        <v>外功攻击+3;内功攻击+3</v>
      </c>
      <c r="F420" s="1" t="s">
        <v>14</v>
      </c>
      <c r="G420" s="1" t="s">
        <v>47</v>
      </c>
      <c r="J420" s="5" t="s">
        <v>16</v>
      </c>
      <c r="K420" s="5" t="s">
        <v>286</v>
      </c>
    </row>
    <row r="421" spans="1:11" x14ac:dyDescent="0.25">
      <c r="A421" s="1">
        <v>1150203</v>
      </c>
      <c r="B421" s="1">
        <v>115002</v>
      </c>
      <c r="C421" s="1">
        <v>1</v>
      </c>
      <c r="D421" s="1">
        <v>0</v>
      </c>
      <c r="E421" s="5">
        <f t="shared" si="46"/>
        <v>0</v>
      </c>
      <c r="F421" s="1" t="s">
        <v>14</v>
      </c>
      <c r="G421" s="1" t="s">
        <v>47</v>
      </c>
      <c r="J421" s="5">
        <v>0</v>
      </c>
      <c r="K421" s="5">
        <v>0</v>
      </c>
    </row>
    <row r="422" spans="1:11" x14ac:dyDescent="0.25">
      <c r="A422" s="1">
        <v>1150204</v>
      </c>
      <c r="B422" s="1">
        <v>115002</v>
      </c>
      <c r="C422" s="1">
        <v>2</v>
      </c>
      <c r="D422" s="1">
        <v>50</v>
      </c>
      <c r="E422" s="5" t="str">
        <f t="shared" si="46"/>
        <v>外功攻击+5;内功攻击+5</v>
      </c>
      <c r="F422" s="1" t="s">
        <v>14</v>
      </c>
      <c r="G422" s="1" t="s">
        <v>47</v>
      </c>
      <c r="J422" s="5" t="s">
        <v>18</v>
      </c>
      <c r="K422" s="5" t="s">
        <v>287</v>
      </c>
    </row>
    <row r="423" spans="1:11" x14ac:dyDescent="0.25">
      <c r="A423" s="1">
        <v>1150205</v>
      </c>
      <c r="B423" s="1">
        <v>115002</v>
      </c>
      <c r="C423" s="1">
        <v>1</v>
      </c>
      <c r="D423" s="1">
        <v>0</v>
      </c>
      <c r="E423" s="5">
        <f t="shared" si="46"/>
        <v>0</v>
      </c>
      <c r="F423" s="1" t="s">
        <v>14</v>
      </c>
      <c r="G423" s="1" t="s">
        <v>47</v>
      </c>
      <c r="J423" s="5">
        <v>0</v>
      </c>
      <c r="K423" s="5">
        <v>0</v>
      </c>
    </row>
    <row r="424" spans="1:11" x14ac:dyDescent="0.25">
      <c r="A424" s="1">
        <v>1150206</v>
      </c>
      <c r="B424" s="1">
        <v>115002</v>
      </c>
      <c r="C424" s="1">
        <v>3</v>
      </c>
      <c r="D424" s="1">
        <v>100</v>
      </c>
      <c r="E424" s="5" t="str">
        <f t="shared" si="46"/>
        <v>外功攻击+27;内功攻击+27</v>
      </c>
      <c r="F424" s="1" t="s">
        <v>14</v>
      </c>
      <c r="G424" s="1" t="s">
        <v>47</v>
      </c>
      <c r="J424" s="5" t="s">
        <v>19</v>
      </c>
      <c r="K424" s="5" t="s">
        <v>288</v>
      </c>
    </row>
    <row r="425" spans="1:11" x14ac:dyDescent="0.25">
      <c r="A425" s="1">
        <v>1150207</v>
      </c>
      <c r="B425" s="1">
        <v>115002</v>
      </c>
      <c r="C425" s="1">
        <v>4</v>
      </c>
      <c r="D425" s="1">
        <v>200</v>
      </c>
      <c r="E425" s="5" t="str">
        <f t="shared" si="46"/>
        <v>外功攻击+30;内功攻击+30</v>
      </c>
      <c r="F425" s="1" t="s">
        <v>14</v>
      </c>
      <c r="G425" s="1" t="s">
        <v>47</v>
      </c>
      <c r="J425" s="5" t="s">
        <v>20</v>
      </c>
      <c r="K425" s="5" t="s">
        <v>289</v>
      </c>
    </row>
    <row r="426" spans="1:11" x14ac:dyDescent="0.25">
      <c r="A426" s="1">
        <v>1150208</v>
      </c>
      <c r="B426" s="1">
        <v>115002</v>
      </c>
      <c r="C426" s="1">
        <v>5</v>
      </c>
      <c r="D426" s="1">
        <v>300</v>
      </c>
      <c r="E426" s="5" t="str">
        <f t="shared" si="46"/>
        <v>外功攻击+55;内功攻击+55</v>
      </c>
      <c r="F426" s="1" t="s">
        <v>14</v>
      </c>
      <c r="G426" s="1" t="s">
        <v>47</v>
      </c>
      <c r="J426" s="5" t="s">
        <v>21</v>
      </c>
      <c r="K426" s="5" t="s">
        <v>290</v>
      </c>
    </row>
    <row r="427" spans="1:11" x14ac:dyDescent="0.25">
      <c r="A427" s="1">
        <v>1150209</v>
      </c>
      <c r="B427" s="1">
        <v>115002</v>
      </c>
      <c r="C427" s="1">
        <v>6</v>
      </c>
      <c r="D427" s="1">
        <v>400</v>
      </c>
      <c r="E427" s="5" t="str">
        <f t="shared" si="46"/>
        <v>外功攻击+80;内功攻击+80</v>
      </c>
      <c r="F427" s="1" t="s">
        <v>14</v>
      </c>
      <c r="G427" s="1" t="s">
        <v>47</v>
      </c>
      <c r="J427" s="5" t="s">
        <v>22</v>
      </c>
      <c r="K427" s="5" t="s">
        <v>291</v>
      </c>
    </row>
    <row r="428" spans="1:11" x14ac:dyDescent="0.25">
      <c r="A428" s="1">
        <v>1150210</v>
      </c>
      <c r="B428" s="1">
        <v>115002</v>
      </c>
      <c r="C428" s="1">
        <v>7</v>
      </c>
      <c r="D428" s="1">
        <v>500</v>
      </c>
      <c r="E428" s="5" t="str">
        <f t="shared" si="46"/>
        <v>外功攻击+125;内功攻击+125</v>
      </c>
      <c r="F428" s="1" t="s">
        <v>14</v>
      </c>
      <c r="G428" s="1" t="s">
        <v>47</v>
      </c>
      <c r="J428" s="5" t="s">
        <v>23</v>
      </c>
      <c r="K428" s="5" t="s">
        <v>292</v>
      </c>
    </row>
    <row r="429" spans="1:11" x14ac:dyDescent="0.25">
      <c r="A429" s="1">
        <f>A428+1</f>
        <v>1150211</v>
      </c>
      <c r="B429" s="1">
        <f>B428</f>
        <v>115002</v>
      </c>
      <c r="C429" s="1">
        <f>C428+1</f>
        <v>8</v>
      </c>
      <c r="D429" s="1">
        <f>D428*2</f>
        <v>1000</v>
      </c>
      <c r="E429" s="5" t="str">
        <f t="shared" si="46"/>
        <v>外功攻击+249;内功攻击+249</v>
      </c>
      <c r="F429" s="1" t="str">
        <f t="shared" ref="F429:G431" si="55">F428</f>
        <v>1+0;</v>
      </c>
      <c r="G429" s="1" t="str">
        <f t="shared" si="55"/>
        <v>月残经</v>
      </c>
      <c r="J429" s="5" t="s">
        <v>284</v>
      </c>
      <c r="K429" s="5" t="s">
        <v>293</v>
      </c>
    </row>
    <row r="430" spans="1:11" x14ac:dyDescent="0.25">
      <c r="A430" s="1">
        <f>A429+1</f>
        <v>1150212</v>
      </c>
      <c r="B430" s="1">
        <f>B429</f>
        <v>115002</v>
      </c>
      <c r="C430" s="1">
        <f>C429+1</f>
        <v>9</v>
      </c>
      <c r="D430" s="1">
        <f>D429+100</f>
        <v>1100</v>
      </c>
      <c r="E430" s="5" t="str">
        <f t="shared" si="46"/>
        <v>外功攻击+403;内功攻击+403</v>
      </c>
      <c r="F430" s="1" t="str">
        <f t="shared" si="55"/>
        <v>1+0;</v>
      </c>
      <c r="G430" s="1" t="str">
        <f t="shared" si="55"/>
        <v>月残经</v>
      </c>
      <c r="J430" s="5" t="s">
        <v>285</v>
      </c>
      <c r="K430" s="5" t="s">
        <v>294</v>
      </c>
    </row>
    <row r="431" spans="1:11" x14ac:dyDescent="0.25">
      <c r="A431" s="1">
        <f>A430+1</f>
        <v>1150213</v>
      </c>
      <c r="B431" s="1">
        <f>B430</f>
        <v>115002</v>
      </c>
      <c r="C431" s="1">
        <f>C430+1</f>
        <v>10</v>
      </c>
      <c r="D431" s="1">
        <f>D430+100</f>
        <v>1200</v>
      </c>
      <c r="E431" s="5" t="str">
        <f t="shared" ref="E431" si="56">IF(J431=0,J431,J431&amp;";"&amp;K431)</f>
        <v>外功攻击+503;内功攻击+503</v>
      </c>
      <c r="F431" s="1" t="str">
        <f t="shared" si="55"/>
        <v>1+0;</v>
      </c>
      <c r="G431" s="1" t="str">
        <f t="shared" si="55"/>
        <v>月残经</v>
      </c>
      <c r="J431" s="5" t="s">
        <v>308</v>
      </c>
      <c r="K431" s="5" t="s">
        <v>309</v>
      </c>
    </row>
    <row r="432" spans="1:11" x14ac:dyDescent="0.25">
      <c r="A432" s="1">
        <v>2010101</v>
      </c>
      <c r="B432" s="1">
        <v>201001</v>
      </c>
      <c r="C432" s="1">
        <v>1</v>
      </c>
      <c r="D432" s="1">
        <v>0</v>
      </c>
      <c r="E432" s="5">
        <v>0</v>
      </c>
      <c r="F432" s="1" t="s">
        <v>14</v>
      </c>
      <c r="G432" s="1" t="s">
        <v>48</v>
      </c>
    </row>
    <row r="433" spans="1:11" x14ac:dyDescent="0.25">
      <c r="A433" s="1">
        <v>2010102</v>
      </c>
      <c r="B433" s="1">
        <v>201001</v>
      </c>
      <c r="C433" s="1">
        <v>1</v>
      </c>
      <c r="D433" s="1">
        <v>10</v>
      </c>
      <c r="E433" s="36" t="s">
        <v>295</v>
      </c>
      <c r="F433" s="1" t="s">
        <v>14</v>
      </c>
      <c r="G433" s="1" t="s">
        <v>48</v>
      </c>
    </row>
    <row r="434" spans="1:11" x14ac:dyDescent="0.25">
      <c r="A434" s="1">
        <v>2010103</v>
      </c>
      <c r="B434" s="1">
        <v>201001</v>
      </c>
      <c r="C434" s="1">
        <v>2</v>
      </c>
      <c r="D434" s="1">
        <v>50</v>
      </c>
      <c r="E434" s="36" t="s">
        <v>296</v>
      </c>
      <c r="F434" s="1" t="s">
        <v>14</v>
      </c>
      <c r="G434" s="1" t="s">
        <v>48</v>
      </c>
    </row>
    <row r="435" spans="1:11" x14ac:dyDescent="0.25">
      <c r="A435" s="1">
        <v>2010104</v>
      </c>
      <c r="B435" s="1">
        <v>201001</v>
      </c>
      <c r="C435" s="1">
        <v>3</v>
      </c>
      <c r="D435" s="1">
        <v>100</v>
      </c>
      <c r="E435" s="36" t="s">
        <v>297</v>
      </c>
      <c r="F435" s="1" t="s">
        <v>14</v>
      </c>
      <c r="G435" s="1" t="s">
        <v>48</v>
      </c>
    </row>
    <row r="436" spans="1:11" x14ac:dyDescent="0.25">
      <c r="A436" s="1">
        <v>2010105</v>
      </c>
      <c r="B436" s="1">
        <v>201001</v>
      </c>
      <c r="C436" s="1">
        <v>4</v>
      </c>
      <c r="D436" s="1">
        <v>200</v>
      </c>
      <c r="E436" s="36" t="s">
        <v>298</v>
      </c>
      <c r="F436" s="1" t="s">
        <v>14</v>
      </c>
      <c r="G436" s="1" t="s">
        <v>48</v>
      </c>
    </row>
    <row r="437" spans="1:11" x14ac:dyDescent="0.25">
      <c r="A437" s="1">
        <v>2010106</v>
      </c>
      <c r="B437" s="1">
        <v>201001</v>
      </c>
      <c r="C437" s="1">
        <v>5</v>
      </c>
      <c r="D437" s="1">
        <v>300</v>
      </c>
      <c r="E437" s="36" t="s">
        <v>299</v>
      </c>
      <c r="F437" s="1" t="s">
        <v>14</v>
      </c>
      <c r="G437" s="1" t="s">
        <v>48</v>
      </c>
    </row>
    <row r="438" spans="1:11" x14ac:dyDescent="0.25">
      <c r="A438" s="1">
        <v>2010107</v>
      </c>
      <c r="B438" s="1">
        <v>201001</v>
      </c>
      <c r="C438" s="1">
        <v>6</v>
      </c>
      <c r="D438" s="1">
        <v>400</v>
      </c>
      <c r="E438" s="36" t="s">
        <v>300</v>
      </c>
      <c r="F438" s="1" t="s">
        <v>14</v>
      </c>
      <c r="G438" s="1" t="s">
        <v>48</v>
      </c>
    </row>
    <row r="439" spans="1:11" x14ac:dyDescent="0.25">
      <c r="A439" s="1">
        <v>2010108</v>
      </c>
      <c r="B439" s="1">
        <v>201001</v>
      </c>
      <c r="C439" s="1">
        <v>7</v>
      </c>
      <c r="D439" s="1">
        <v>500</v>
      </c>
      <c r="E439" s="36" t="s">
        <v>301</v>
      </c>
      <c r="F439" s="1" t="s">
        <v>14</v>
      </c>
      <c r="G439" s="1" t="s">
        <v>48</v>
      </c>
    </row>
    <row r="440" spans="1:11" x14ac:dyDescent="0.25">
      <c r="A440" s="1">
        <v>2010109</v>
      </c>
      <c r="B440" s="1">
        <v>201001</v>
      </c>
      <c r="C440" s="1">
        <v>8</v>
      </c>
      <c r="D440" s="1">
        <v>1000</v>
      </c>
      <c r="E440" s="36" t="s">
        <v>302</v>
      </c>
      <c r="F440" s="1" t="s">
        <v>14</v>
      </c>
      <c r="G440" s="1" t="s">
        <v>48</v>
      </c>
    </row>
    <row r="441" spans="1:11" x14ac:dyDescent="0.25">
      <c r="A441" s="1">
        <v>2010110</v>
      </c>
      <c r="B441" s="1">
        <v>201001</v>
      </c>
      <c r="C441" s="1">
        <v>9</v>
      </c>
      <c r="D441" s="1">
        <v>1100</v>
      </c>
      <c r="E441" s="36" t="s">
        <v>303</v>
      </c>
      <c r="F441" s="1" t="s">
        <v>14</v>
      </c>
      <c r="G441" s="1" t="s">
        <v>48</v>
      </c>
    </row>
    <row r="442" spans="1:11" x14ac:dyDescent="0.25">
      <c r="A442" s="1">
        <f>A441+1</f>
        <v>2010111</v>
      </c>
      <c r="B442" s="1">
        <f>B441</f>
        <v>201001</v>
      </c>
      <c r="C442" s="1">
        <f>C441+1</f>
        <v>10</v>
      </c>
      <c r="D442" s="1">
        <f>D441+100</f>
        <v>1200</v>
      </c>
      <c r="E442" s="5" t="str">
        <f>IF(J442=0,J442,J442&amp;K442)</f>
        <v>气血上限+8218</v>
      </c>
      <c r="F442" s="1" t="str">
        <f>F441</f>
        <v>1+0;</v>
      </c>
      <c r="G442" s="1" t="str">
        <f>G441</f>
        <v>天涯月明章</v>
      </c>
      <c r="J442" s="36" t="s">
        <v>310</v>
      </c>
      <c r="K442" s="5"/>
    </row>
    <row r="443" spans="1:11" x14ac:dyDescent="0.25">
      <c r="A443" s="7">
        <v>2010201</v>
      </c>
      <c r="B443" s="1">
        <v>201002</v>
      </c>
      <c r="C443" s="1">
        <v>1</v>
      </c>
      <c r="D443" s="1">
        <v>0</v>
      </c>
      <c r="E443" s="5">
        <v>0</v>
      </c>
      <c r="F443" s="1" t="s">
        <v>14</v>
      </c>
      <c r="G443" s="1" t="s">
        <v>58</v>
      </c>
    </row>
    <row r="444" spans="1:11" x14ac:dyDescent="0.25">
      <c r="A444" s="7">
        <v>2010202</v>
      </c>
      <c r="B444" s="1">
        <v>201002</v>
      </c>
      <c r="C444" s="1">
        <v>1</v>
      </c>
      <c r="D444" s="1">
        <v>10</v>
      </c>
      <c r="E444" s="36" t="s">
        <v>295</v>
      </c>
      <c r="F444" s="1" t="s">
        <v>14</v>
      </c>
      <c r="G444" s="1" t="s">
        <v>58</v>
      </c>
    </row>
    <row r="445" spans="1:11" x14ac:dyDescent="0.25">
      <c r="A445" s="7">
        <v>2010203</v>
      </c>
      <c r="B445" s="1">
        <v>201002</v>
      </c>
      <c r="C445" s="1">
        <v>2</v>
      </c>
      <c r="D445" s="1">
        <v>50</v>
      </c>
      <c r="E445" s="36" t="s">
        <v>296</v>
      </c>
      <c r="F445" s="1" t="s">
        <v>14</v>
      </c>
      <c r="G445" s="1" t="s">
        <v>58</v>
      </c>
    </row>
    <row r="446" spans="1:11" x14ac:dyDescent="0.25">
      <c r="A446" s="7">
        <v>2010204</v>
      </c>
      <c r="B446" s="1">
        <v>201002</v>
      </c>
      <c r="C446" s="1">
        <v>3</v>
      </c>
      <c r="D446" s="1">
        <v>100</v>
      </c>
      <c r="E446" s="36" t="s">
        <v>297</v>
      </c>
      <c r="F446" s="1" t="s">
        <v>14</v>
      </c>
      <c r="G446" s="1" t="s">
        <v>58</v>
      </c>
    </row>
    <row r="447" spans="1:11" x14ac:dyDescent="0.25">
      <c r="A447" s="7">
        <v>2010205</v>
      </c>
      <c r="B447" s="1">
        <v>201002</v>
      </c>
      <c r="C447" s="1">
        <v>4</v>
      </c>
      <c r="D447" s="1">
        <v>200</v>
      </c>
      <c r="E447" s="36" t="s">
        <v>298</v>
      </c>
      <c r="F447" s="1" t="s">
        <v>14</v>
      </c>
      <c r="G447" s="1" t="s">
        <v>58</v>
      </c>
    </row>
    <row r="448" spans="1:11" x14ac:dyDescent="0.25">
      <c r="A448" s="7">
        <v>2010206</v>
      </c>
      <c r="B448" s="1">
        <v>201002</v>
      </c>
      <c r="C448" s="1">
        <v>5</v>
      </c>
      <c r="D448" s="1">
        <v>300</v>
      </c>
      <c r="E448" s="36" t="s">
        <v>299</v>
      </c>
      <c r="F448" s="1" t="s">
        <v>14</v>
      </c>
      <c r="G448" s="1" t="s">
        <v>58</v>
      </c>
    </row>
    <row r="449" spans="1:11" x14ac:dyDescent="0.25">
      <c r="A449" s="7">
        <v>2010207</v>
      </c>
      <c r="B449" s="1">
        <v>201002</v>
      </c>
      <c r="C449" s="1">
        <v>6</v>
      </c>
      <c r="D449" s="1">
        <v>400</v>
      </c>
      <c r="E449" s="36" t="s">
        <v>300</v>
      </c>
      <c r="F449" s="1" t="s">
        <v>14</v>
      </c>
      <c r="G449" s="1" t="s">
        <v>58</v>
      </c>
    </row>
    <row r="450" spans="1:11" x14ac:dyDescent="0.25">
      <c r="A450" s="7">
        <v>2010208</v>
      </c>
      <c r="B450" s="1">
        <v>201002</v>
      </c>
      <c r="C450" s="1">
        <v>7</v>
      </c>
      <c r="D450" s="1">
        <v>500</v>
      </c>
      <c r="E450" s="36" t="s">
        <v>301</v>
      </c>
      <c r="F450" s="1" t="s">
        <v>14</v>
      </c>
      <c r="G450" s="1" t="s">
        <v>58</v>
      </c>
    </row>
    <row r="451" spans="1:11" x14ac:dyDescent="0.25">
      <c r="A451" s="7">
        <v>2010209</v>
      </c>
      <c r="B451" s="1">
        <v>201002</v>
      </c>
      <c r="C451" s="1">
        <v>8</v>
      </c>
      <c r="D451" s="1">
        <v>1000</v>
      </c>
      <c r="E451" s="36" t="s">
        <v>302</v>
      </c>
      <c r="F451" s="1" t="s">
        <v>14</v>
      </c>
      <c r="G451" s="1" t="s">
        <v>58</v>
      </c>
    </row>
    <row r="452" spans="1:11" x14ac:dyDescent="0.25">
      <c r="A452" s="7">
        <v>2010210</v>
      </c>
      <c r="B452" s="1">
        <v>201002</v>
      </c>
      <c r="C452" s="1">
        <v>9</v>
      </c>
      <c r="D452" s="1">
        <v>1100</v>
      </c>
      <c r="E452" s="36" t="s">
        <v>303</v>
      </c>
      <c r="F452" s="1" t="s">
        <v>14</v>
      </c>
      <c r="G452" s="1" t="s">
        <v>58</v>
      </c>
    </row>
    <row r="453" spans="1:11" x14ac:dyDescent="0.25">
      <c r="A453" s="1">
        <f>A452+1</f>
        <v>2010211</v>
      </c>
      <c r="B453" s="1">
        <f>B452</f>
        <v>201002</v>
      </c>
      <c r="C453" s="1">
        <f>C452+1</f>
        <v>10</v>
      </c>
      <c r="D453" s="1">
        <f>D452+100</f>
        <v>1200</v>
      </c>
      <c r="E453" s="5" t="str">
        <f>IF(J453=0,J453,J453&amp;K453)</f>
        <v>气血上限+8218</v>
      </c>
      <c r="F453" s="1" t="str">
        <f>F452</f>
        <v>1+0;</v>
      </c>
      <c r="G453" s="1" t="str">
        <f>G452</f>
        <v>嗤魔祭血真经</v>
      </c>
      <c r="J453" s="36" t="s">
        <v>310</v>
      </c>
      <c r="K453" s="5"/>
    </row>
    <row r="454" spans="1:11" x14ac:dyDescent="0.25">
      <c r="A454" s="7">
        <v>2010301</v>
      </c>
      <c r="B454" s="1">
        <v>201003</v>
      </c>
      <c r="C454" s="1">
        <v>1</v>
      </c>
      <c r="D454" s="1">
        <v>0</v>
      </c>
      <c r="E454" s="5">
        <v>0</v>
      </c>
      <c r="F454" s="1" t="s">
        <v>14</v>
      </c>
      <c r="G454" s="1" t="s">
        <v>59</v>
      </c>
    </row>
    <row r="455" spans="1:11" x14ac:dyDescent="0.25">
      <c r="A455" s="7">
        <v>2010302</v>
      </c>
      <c r="B455" s="1">
        <v>201003</v>
      </c>
      <c r="C455" s="1">
        <v>1</v>
      </c>
      <c r="D455" s="1">
        <v>10</v>
      </c>
      <c r="E455" s="36" t="s">
        <v>295</v>
      </c>
      <c r="F455" s="1" t="s">
        <v>14</v>
      </c>
      <c r="G455" s="1" t="s">
        <v>59</v>
      </c>
    </row>
    <row r="456" spans="1:11" x14ac:dyDescent="0.25">
      <c r="A456" s="7">
        <v>2010303</v>
      </c>
      <c r="B456" s="1">
        <v>201003</v>
      </c>
      <c r="C456" s="1">
        <v>2</v>
      </c>
      <c r="D456" s="1">
        <v>50</v>
      </c>
      <c r="E456" s="36" t="s">
        <v>296</v>
      </c>
      <c r="F456" s="1" t="s">
        <v>14</v>
      </c>
      <c r="G456" s="1" t="s">
        <v>59</v>
      </c>
    </row>
    <row r="457" spans="1:11" x14ac:dyDescent="0.25">
      <c r="A457" s="7">
        <v>2010304</v>
      </c>
      <c r="B457" s="1">
        <v>201003</v>
      </c>
      <c r="C457" s="1">
        <v>3</v>
      </c>
      <c r="D457" s="1">
        <v>100</v>
      </c>
      <c r="E457" s="36" t="s">
        <v>297</v>
      </c>
      <c r="F457" s="1" t="s">
        <v>14</v>
      </c>
      <c r="G457" s="1" t="s">
        <v>59</v>
      </c>
    </row>
    <row r="458" spans="1:11" x14ac:dyDescent="0.25">
      <c r="A458" s="7">
        <v>2010305</v>
      </c>
      <c r="B458" s="1">
        <v>201003</v>
      </c>
      <c r="C458" s="1">
        <v>4</v>
      </c>
      <c r="D458" s="1">
        <v>200</v>
      </c>
      <c r="E458" s="36" t="s">
        <v>298</v>
      </c>
      <c r="F458" s="1" t="s">
        <v>14</v>
      </c>
      <c r="G458" s="1" t="s">
        <v>59</v>
      </c>
    </row>
    <row r="459" spans="1:11" x14ac:dyDescent="0.25">
      <c r="A459" s="7">
        <v>2010306</v>
      </c>
      <c r="B459" s="1">
        <v>201003</v>
      </c>
      <c r="C459" s="1">
        <v>5</v>
      </c>
      <c r="D459" s="1">
        <v>300</v>
      </c>
      <c r="E459" s="36" t="s">
        <v>299</v>
      </c>
      <c r="F459" s="1" t="s">
        <v>14</v>
      </c>
      <c r="G459" s="1" t="s">
        <v>59</v>
      </c>
    </row>
    <row r="460" spans="1:11" x14ac:dyDescent="0.25">
      <c r="A460" s="7">
        <v>2010307</v>
      </c>
      <c r="B460" s="1">
        <v>201003</v>
      </c>
      <c r="C460" s="1">
        <v>6</v>
      </c>
      <c r="D460" s="1">
        <v>400</v>
      </c>
      <c r="E460" s="36" t="s">
        <v>300</v>
      </c>
      <c r="F460" s="1" t="s">
        <v>14</v>
      </c>
      <c r="G460" s="1" t="s">
        <v>59</v>
      </c>
    </row>
    <row r="461" spans="1:11" x14ac:dyDescent="0.25">
      <c r="A461" s="7">
        <v>2010308</v>
      </c>
      <c r="B461" s="1">
        <v>201003</v>
      </c>
      <c r="C461" s="1">
        <v>7</v>
      </c>
      <c r="D461" s="1">
        <v>500</v>
      </c>
      <c r="E461" s="36" t="s">
        <v>301</v>
      </c>
      <c r="F461" s="1" t="s">
        <v>14</v>
      </c>
      <c r="G461" s="1" t="s">
        <v>59</v>
      </c>
    </row>
    <row r="462" spans="1:11" x14ac:dyDescent="0.25">
      <c r="A462" s="7">
        <v>2010309</v>
      </c>
      <c r="B462" s="1">
        <v>201003</v>
      </c>
      <c r="C462" s="1">
        <v>8</v>
      </c>
      <c r="D462" s="1">
        <v>1000</v>
      </c>
      <c r="E462" s="36" t="s">
        <v>302</v>
      </c>
      <c r="F462" s="1" t="s">
        <v>14</v>
      </c>
      <c r="G462" s="1" t="s">
        <v>59</v>
      </c>
    </row>
    <row r="463" spans="1:11" x14ac:dyDescent="0.25">
      <c r="A463" s="7">
        <v>2010310</v>
      </c>
      <c r="B463" s="1">
        <v>201003</v>
      </c>
      <c r="C463" s="1">
        <v>9</v>
      </c>
      <c r="D463" s="1">
        <v>1100</v>
      </c>
      <c r="E463" s="36" t="s">
        <v>303</v>
      </c>
      <c r="F463" s="1" t="s">
        <v>14</v>
      </c>
      <c r="G463" s="1" t="s">
        <v>59</v>
      </c>
    </row>
    <row r="464" spans="1:11" x14ac:dyDescent="0.25">
      <c r="A464" s="1">
        <f>A463+1</f>
        <v>2010311</v>
      </c>
      <c r="B464" s="1">
        <f>B463</f>
        <v>201003</v>
      </c>
      <c r="C464" s="1">
        <f>C463+1</f>
        <v>10</v>
      </c>
      <c r="D464" s="1">
        <f>D463+100</f>
        <v>1200</v>
      </c>
      <c r="E464" s="5" t="str">
        <f>IF(J464=0,J464,J464&amp;K464)</f>
        <v>气血上限+8218</v>
      </c>
      <c r="F464" s="1" t="str">
        <f>F463</f>
        <v>1+0;</v>
      </c>
      <c r="G464" s="1" t="str">
        <f>G463</f>
        <v>连珏天璧法</v>
      </c>
      <c r="J464" s="36" t="s">
        <v>310</v>
      </c>
      <c r="K464" s="5"/>
    </row>
    <row r="465" spans="1:11" x14ac:dyDescent="0.25">
      <c r="A465" s="7">
        <v>2010401</v>
      </c>
      <c r="B465" s="1">
        <v>201004</v>
      </c>
      <c r="C465" s="1">
        <v>1</v>
      </c>
      <c r="D465" s="1">
        <v>0</v>
      </c>
      <c r="E465" s="5">
        <v>0</v>
      </c>
      <c r="F465" s="1" t="s">
        <v>14</v>
      </c>
      <c r="G465" s="1" t="s">
        <v>60</v>
      </c>
    </row>
    <row r="466" spans="1:11" x14ac:dyDescent="0.25">
      <c r="A466" s="7">
        <v>2010402</v>
      </c>
      <c r="B466" s="1">
        <v>201004</v>
      </c>
      <c r="C466" s="1">
        <v>1</v>
      </c>
      <c r="D466" s="1">
        <v>10</v>
      </c>
      <c r="E466" s="36" t="s">
        <v>295</v>
      </c>
      <c r="F466" s="1" t="s">
        <v>14</v>
      </c>
      <c r="G466" s="1" t="s">
        <v>60</v>
      </c>
    </row>
    <row r="467" spans="1:11" x14ac:dyDescent="0.25">
      <c r="A467" s="7">
        <v>2010403</v>
      </c>
      <c r="B467" s="1">
        <v>201004</v>
      </c>
      <c r="C467" s="1">
        <v>2</v>
      </c>
      <c r="D467" s="1">
        <v>50</v>
      </c>
      <c r="E467" s="36" t="s">
        <v>296</v>
      </c>
      <c r="F467" s="1" t="s">
        <v>14</v>
      </c>
      <c r="G467" s="1" t="s">
        <v>60</v>
      </c>
    </row>
    <row r="468" spans="1:11" x14ac:dyDescent="0.25">
      <c r="A468" s="7">
        <v>2010404</v>
      </c>
      <c r="B468" s="1">
        <v>201004</v>
      </c>
      <c r="C468" s="1">
        <v>3</v>
      </c>
      <c r="D468" s="1">
        <v>100</v>
      </c>
      <c r="E468" s="36" t="s">
        <v>297</v>
      </c>
      <c r="F468" s="1" t="s">
        <v>14</v>
      </c>
      <c r="G468" s="1" t="s">
        <v>60</v>
      </c>
    </row>
    <row r="469" spans="1:11" x14ac:dyDescent="0.25">
      <c r="A469" s="7">
        <v>2010405</v>
      </c>
      <c r="B469" s="1">
        <v>201004</v>
      </c>
      <c r="C469" s="1">
        <v>4</v>
      </c>
      <c r="D469" s="1">
        <v>200</v>
      </c>
      <c r="E469" s="36" t="s">
        <v>298</v>
      </c>
      <c r="F469" s="1" t="s">
        <v>14</v>
      </c>
      <c r="G469" s="1" t="s">
        <v>60</v>
      </c>
    </row>
    <row r="470" spans="1:11" x14ac:dyDescent="0.25">
      <c r="A470" s="7">
        <v>2010406</v>
      </c>
      <c r="B470" s="1">
        <v>201004</v>
      </c>
      <c r="C470" s="1">
        <v>5</v>
      </c>
      <c r="D470" s="1">
        <v>300</v>
      </c>
      <c r="E470" s="36" t="s">
        <v>299</v>
      </c>
      <c r="F470" s="1" t="s">
        <v>14</v>
      </c>
      <c r="G470" s="1" t="s">
        <v>60</v>
      </c>
    </row>
    <row r="471" spans="1:11" x14ac:dyDescent="0.25">
      <c r="A471" s="7">
        <v>2010407</v>
      </c>
      <c r="B471" s="1">
        <v>201004</v>
      </c>
      <c r="C471" s="1">
        <v>6</v>
      </c>
      <c r="D471" s="1">
        <v>400</v>
      </c>
      <c r="E471" s="36" t="s">
        <v>300</v>
      </c>
      <c r="F471" s="1" t="s">
        <v>14</v>
      </c>
      <c r="G471" s="1" t="s">
        <v>60</v>
      </c>
    </row>
    <row r="472" spans="1:11" x14ac:dyDescent="0.25">
      <c r="A472" s="7">
        <v>2010408</v>
      </c>
      <c r="B472" s="1">
        <v>201004</v>
      </c>
      <c r="C472" s="1">
        <v>7</v>
      </c>
      <c r="D472" s="1">
        <v>500</v>
      </c>
      <c r="E472" s="36" t="s">
        <v>301</v>
      </c>
      <c r="F472" s="1" t="s">
        <v>14</v>
      </c>
      <c r="G472" s="1" t="s">
        <v>60</v>
      </c>
    </row>
    <row r="473" spans="1:11" x14ac:dyDescent="0.25">
      <c r="A473" s="7">
        <v>2010409</v>
      </c>
      <c r="B473" s="1">
        <v>201004</v>
      </c>
      <c r="C473" s="1">
        <v>8</v>
      </c>
      <c r="D473" s="1">
        <v>1000</v>
      </c>
      <c r="E473" s="36" t="s">
        <v>302</v>
      </c>
      <c r="F473" s="1" t="s">
        <v>14</v>
      </c>
      <c r="G473" s="1" t="s">
        <v>60</v>
      </c>
    </row>
    <row r="474" spans="1:11" x14ac:dyDescent="0.25">
      <c r="A474" s="7">
        <v>2010410</v>
      </c>
      <c r="B474" s="1">
        <v>201004</v>
      </c>
      <c r="C474" s="1">
        <v>9</v>
      </c>
      <c r="D474" s="1">
        <v>1100</v>
      </c>
      <c r="E474" s="36" t="s">
        <v>303</v>
      </c>
      <c r="F474" s="1" t="s">
        <v>14</v>
      </c>
      <c r="G474" s="1" t="s">
        <v>60</v>
      </c>
    </row>
    <row r="475" spans="1:11" x14ac:dyDescent="0.25">
      <c r="A475" s="1">
        <f>A474+1</f>
        <v>2010411</v>
      </c>
      <c r="B475" s="1">
        <f>B474</f>
        <v>201004</v>
      </c>
      <c r="C475" s="1">
        <f>C474+1</f>
        <v>10</v>
      </c>
      <c r="D475" s="1">
        <f>D474+100</f>
        <v>1200</v>
      </c>
      <c r="E475" s="5" t="str">
        <f>IF(J475=0,J475,J475&amp;K475)</f>
        <v>气血上限+8218</v>
      </c>
      <c r="F475" s="1" t="str">
        <f>F474</f>
        <v>1+0;</v>
      </c>
      <c r="G475" s="1" t="str">
        <f>G474</f>
        <v>玄黎蛊瘴</v>
      </c>
      <c r="J475" s="36" t="s">
        <v>310</v>
      </c>
      <c r="K475" s="5"/>
    </row>
    <row r="476" spans="1:11" x14ac:dyDescent="0.25">
      <c r="A476" s="7">
        <v>2010501</v>
      </c>
      <c r="B476" s="1">
        <v>201005</v>
      </c>
      <c r="C476" s="1">
        <v>1</v>
      </c>
      <c r="D476" s="1">
        <v>0</v>
      </c>
      <c r="E476" s="5">
        <v>0</v>
      </c>
      <c r="F476" s="1" t="s">
        <v>14</v>
      </c>
      <c r="G476" s="1" t="s">
        <v>61</v>
      </c>
    </row>
    <row r="477" spans="1:11" x14ac:dyDescent="0.25">
      <c r="A477" s="7">
        <v>2010502</v>
      </c>
      <c r="B477" s="1">
        <v>201005</v>
      </c>
      <c r="C477" s="1">
        <v>1</v>
      </c>
      <c r="D477" s="1">
        <v>10</v>
      </c>
      <c r="E477" s="36" t="s">
        <v>295</v>
      </c>
      <c r="F477" s="1" t="s">
        <v>14</v>
      </c>
      <c r="G477" s="1" t="s">
        <v>61</v>
      </c>
    </row>
    <row r="478" spans="1:11" x14ac:dyDescent="0.25">
      <c r="A478" s="7">
        <v>2010503</v>
      </c>
      <c r="B478" s="1">
        <v>201005</v>
      </c>
      <c r="C478" s="1">
        <v>2</v>
      </c>
      <c r="D478" s="1">
        <v>50</v>
      </c>
      <c r="E478" s="36" t="s">
        <v>296</v>
      </c>
      <c r="F478" s="1" t="s">
        <v>14</v>
      </c>
      <c r="G478" s="1" t="s">
        <v>61</v>
      </c>
    </row>
    <row r="479" spans="1:11" x14ac:dyDescent="0.25">
      <c r="A479" s="7">
        <v>2010504</v>
      </c>
      <c r="B479" s="1">
        <v>201005</v>
      </c>
      <c r="C479" s="1">
        <v>3</v>
      </c>
      <c r="D479" s="1">
        <v>100</v>
      </c>
      <c r="E479" s="36" t="s">
        <v>297</v>
      </c>
      <c r="F479" s="1" t="s">
        <v>14</v>
      </c>
      <c r="G479" s="1" t="s">
        <v>61</v>
      </c>
    </row>
    <row r="480" spans="1:11" x14ac:dyDescent="0.25">
      <c r="A480" s="7">
        <v>2010505</v>
      </c>
      <c r="B480" s="1">
        <v>201005</v>
      </c>
      <c r="C480" s="1">
        <v>4</v>
      </c>
      <c r="D480" s="1">
        <v>200</v>
      </c>
      <c r="E480" s="36" t="s">
        <v>298</v>
      </c>
      <c r="F480" s="1" t="s">
        <v>14</v>
      </c>
      <c r="G480" s="1" t="s">
        <v>61</v>
      </c>
    </row>
    <row r="481" spans="1:11" x14ac:dyDescent="0.25">
      <c r="A481" s="7">
        <v>2010506</v>
      </c>
      <c r="B481" s="1">
        <v>201005</v>
      </c>
      <c r="C481" s="1">
        <v>5</v>
      </c>
      <c r="D481" s="1">
        <v>300</v>
      </c>
      <c r="E481" s="36" t="s">
        <v>299</v>
      </c>
      <c r="F481" s="1" t="s">
        <v>14</v>
      </c>
      <c r="G481" s="1" t="s">
        <v>61</v>
      </c>
    </row>
    <row r="482" spans="1:11" x14ac:dyDescent="0.25">
      <c r="A482" s="7">
        <v>2010507</v>
      </c>
      <c r="B482" s="1">
        <v>201005</v>
      </c>
      <c r="C482" s="1">
        <v>6</v>
      </c>
      <c r="D482" s="1">
        <v>400</v>
      </c>
      <c r="E482" s="36" t="s">
        <v>300</v>
      </c>
      <c r="F482" s="1" t="s">
        <v>14</v>
      </c>
      <c r="G482" s="1" t="s">
        <v>61</v>
      </c>
    </row>
    <row r="483" spans="1:11" x14ac:dyDescent="0.25">
      <c r="A483" s="7">
        <v>2010508</v>
      </c>
      <c r="B483" s="1">
        <v>201005</v>
      </c>
      <c r="C483" s="1">
        <v>7</v>
      </c>
      <c r="D483" s="1">
        <v>500</v>
      </c>
      <c r="E483" s="36" t="s">
        <v>301</v>
      </c>
      <c r="F483" s="1" t="s">
        <v>14</v>
      </c>
      <c r="G483" s="1" t="s">
        <v>61</v>
      </c>
    </row>
    <row r="484" spans="1:11" x14ac:dyDescent="0.25">
      <c r="A484" s="7">
        <v>2010509</v>
      </c>
      <c r="B484" s="1">
        <v>201005</v>
      </c>
      <c r="C484" s="1">
        <v>8</v>
      </c>
      <c r="D484" s="1">
        <v>1000</v>
      </c>
      <c r="E484" s="36" t="s">
        <v>302</v>
      </c>
      <c r="F484" s="1" t="s">
        <v>14</v>
      </c>
      <c r="G484" s="1" t="s">
        <v>61</v>
      </c>
    </row>
    <row r="485" spans="1:11" x14ac:dyDescent="0.25">
      <c r="A485" s="7">
        <v>2010510</v>
      </c>
      <c r="B485" s="1">
        <v>201005</v>
      </c>
      <c r="C485" s="1">
        <v>9</v>
      </c>
      <c r="D485" s="1">
        <v>1100</v>
      </c>
      <c r="E485" s="36" t="s">
        <v>303</v>
      </c>
      <c r="F485" s="1" t="s">
        <v>14</v>
      </c>
      <c r="G485" s="1" t="s">
        <v>61</v>
      </c>
    </row>
    <row r="486" spans="1:11" x14ac:dyDescent="0.25">
      <c r="A486" s="1">
        <f>A485+1</f>
        <v>2010511</v>
      </c>
      <c r="B486" s="1">
        <f>B485</f>
        <v>201005</v>
      </c>
      <c r="C486" s="1">
        <f>C485+1</f>
        <v>10</v>
      </c>
      <c r="D486" s="1">
        <f>D485+100</f>
        <v>1200</v>
      </c>
      <c r="E486" s="5" t="str">
        <f>IF(J486=0,J486,J486&amp;K486)</f>
        <v>气血上限+8218</v>
      </c>
      <c r="F486" s="1" t="str">
        <f>F485</f>
        <v>1+0;</v>
      </c>
      <c r="G486" s="1" t="str">
        <f>G485</f>
        <v>三昧阿修罗道</v>
      </c>
      <c r="J486" s="36" t="s">
        <v>310</v>
      </c>
      <c r="K486" s="5"/>
    </row>
    <row r="487" spans="1:11" x14ac:dyDescent="0.25">
      <c r="A487" s="7">
        <v>2010601</v>
      </c>
      <c r="B487" s="1">
        <v>201006</v>
      </c>
      <c r="C487" s="1">
        <v>1</v>
      </c>
      <c r="D487" s="1">
        <v>0</v>
      </c>
      <c r="E487" s="5">
        <v>0</v>
      </c>
      <c r="F487" s="1" t="s">
        <v>14</v>
      </c>
      <c r="G487" s="1" t="s">
        <v>62</v>
      </c>
    </row>
    <row r="488" spans="1:11" x14ac:dyDescent="0.25">
      <c r="A488" s="7">
        <v>2010602</v>
      </c>
      <c r="B488" s="1">
        <v>201006</v>
      </c>
      <c r="C488" s="1">
        <v>1</v>
      </c>
      <c r="D488" s="1">
        <v>10</v>
      </c>
      <c r="E488" s="36" t="s">
        <v>295</v>
      </c>
      <c r="F488" s="1" t="s">
        <v>14</v>
      </c>
      <c r="G488" s="1" t="s">
        <v>62</v>
      </c>
    </row>
    <row r="489" spans="1:11" x14ac:dyDescent="0.25">
      <c r="A489" s="7">
        <v>2010603</v>
      </c>
      <c r="B489" s="1">
        <v>201006</v>
      </c>
      <c r="C489" s="1">
        <v>2</v>
      </c>
      <c r="D489" s="1">
        <v>50</v>
      </c>
      <c r="E489" s="36" t="s">
        <v>296</v>
      </c>
      <c r="F489" s="1" t="s">
        <v>14</v>
      </c>
      <c r="G489" s="1" t="s">
        <v>62</v>
      </c>
    </row>
    <row r="490" spans="1:11" x14ac:dyDescent="0.25">
      <c r="A490" s="7">
        <v>2010604</v>
      </c>
      <c r="B490" s="1">
        <v>201006</v>
      </c>
      <c r="C490" s="1">
        <v>3</v>
      </c>
      <c r="D490" s="1">
        <v>100</v>
      </c>
      <c r="E490" s="36" t="s">
        <v>297</v>
      </c>
      <c r="F490" s="1" t="s">
        <v>14</v>
      </c>
      <c r="G490" s="1" t="s">
        <v>62</v>
      </c>
    </row>
    <row r="491" spans="1:11" x14ac:dyDescent="0.25">
      <c r="A491" s="7">
        <v>2010605</v>
      </c>
      <c r="B491" s="1">
        <v>201006</v>
      </c>
      <c r="C491" s="1">
        <v>4</v>
      </c>
      <c r="D491" s="1">
        <v>200</v>
      </c>
      <c r="E491" s="36" t="s">
        <v>298</v>
      </c>
      <c r="F491" s="1" t="s">
        <v>14</v>
      </c>
      <c r="G491" s="1" t="s">
        <v>62</v>
      </c>
    </row>
    <row r="492" spans="1:11" x14ac:dyDescent="0.25">
      <c r="A492" s="7">
        <v>2010606</v>
      </c>
      <c r="B492" s="1">
        <v>201006</v>
      </c>
      <c r="C492" s="1">
        <v>5</v>
      </c>
      <c r="D492" s="1">
        <v>300</v>
      </c>
      <c r="E492" s="36" t="s">
        <v>299</v>
      </c>
      <c r="F492" s="1" t="s">
        <v>14</v>
      </c>
      <c r="G492" s="1" t="s">
        <v>62</v>
      </c>
    </row>
    <row r="493" spans="1:11" x14ac:dyDescent="0.25">
      <c r="A493" s="7">
        <v>2010607</v>
      </c>
      <c r="B493" s="1">
        <v>201006</v>
      </c>
      <c r="C493" s="1">
        <v>6</v>
      </c>
      <c r="D493" s="1">
        <v>400</v>
      </c>
      <c r="E493" s="36" t="s">
        <v>300</v>
      </c>
      <c r="F493" s="1" t="s">
        <v>14</v>
      </c>
      <c r="G493" s="1" t="s">
        <v>62</v>
      </c>
    </row>
    <row r="494" spans="1:11" x14ac:dyDescent="0.25">
      <c r="A494" s="7">
        <v>2010608</v>
      </c>
      <c r="B494" s="1">
        <v>201006</v>
      </c>
      <c r="C494" s="1">
        <v>7</v>
      </c>
      <c r="D494" s="1">
        <v>500</v>
      </c>
      <c r="E494" s="36" t="s">
        <v>301</v>
      </c>
      <c r="F494" s="1" t="s">
        <v>14</v>
      </c>
      <c r="G494" s="1" t="s">
        <v>62</v>
      </c>
    </row>
    <row r="495" spans="1:11" x14ac:dyDescent="0.25">
      <c r="A495" s="7">
        <v>2010609</v>
      </c>
      <c r="B495" s="1">
        <v>201006</v>
      </c>
      <c r="C495" s="1">
        <v>8</v>
      </c>
      <c r="D495" s="1">
        <v>1000</v>
      </c>
      <c r="E495" s="36" t="s">
        <v>302</v>
      </c>
      <c r="F495" s="1" t="s">
        <v>14</v>
      </c>
      <c r="G495" s="1" t="s">
        <v>62</v>
      </c>
    </row>
    <row r="496" spans="1:11" x14ac:dyDescent="0.25">
      <c r="A496" s="7">
        <v>2010610</v>
      </c>
      <c r="B496" s="1">
        <v>201006</v>
      </c>
      <c r="C496" s="1">
        <v>9</v>
      </c>
      <c r="D496" s="1">
        <v>1100</v>
      </c>
      <c r="E496" s="36" t="s">
        <v>303</v>
      </c>
      <c r="F496" s="1" t="s">
        <v>14</v>
      </c>
      <c r="G496" s="1" t="s">
        <v>62</v>
      </c>
    </row>
    <row r="497" spans="1:11" x14ac:dyDescent="0.25">
      <c r="A497" s="1">
        <f>A496+1</f>
        <v>2010611</v>
      </c>
      <c r="B497" s="1">
        <f>B496</f>
        <v>201006</v>
      </c>
      <c r="C497" s="1">
        <f>C496+1</f>
        <v>10</v>
      </c>
      <c r="D497" s="1">
        <f>D496+100</f>
        <v>1200</v>
      </c>
      <c r="E497" s="5" t="str">
        <f>IF(J497=0,J497,J497&amp;K497)</f>
        <v>气血上限+8218</v>
      </c>
      <c r="F497" s="1" t="str">
        <f>F496</f>
        <v>1+0;</v>
      </c>
      <c r="G497" s="1" t="str">
        <f>G496</f>
        <v>太素灵枢篇</v>
      </c>
      <c r="J497" s="36" t="s">
        <v>310</v>
      </c>
      <c r="K497" s="5"/>
    </row>
    <row r="498" spans="1:11" x14ac:dyDescent="0.25">
      <c r="A498" s="7">
        <v>2010701</v>
      </c>
      <c r="B498" s="1">
        <v>201007</v>
      </c>
      <c r="C498" s="1">
        <v>1</v>
      </c>
      <c r="D498" s="1">
        <v>0</v>
      </c>
      <c r="E498" s="5">
        <v>0</v>
      </c>
      <c r="F498" s="1" t="s">
        <v>14</v>
      </c>
      <c r="G498" s="1" t="s">
        <v>72</v>
      </c>
    </row>
    <row r="499" spans="1:11" x14ac:dyDescent="0.25">
      <c r="A499" s="7">
        <v>2010702</v>
      </c>
      <c r="B499" s="1">
        <v>201007</v>
      </c>
      <c r="C499" s="1">
        <v>1</v>
      </c>
      <c r="D499" s="1">
        <v>10</v>
      </c>
      <c r="E499" s="36" t="s">
        <v>295</v>
      </c>
      <c r="F499" s="1" t="s">
        <v>14</v>
      </c>
      <c r="G499" s="1" t="s">
        <v>72</v>
      </c>
    </row>
    <row r="500" spans="1:11" x14ac:dyDescent="0.25">
      <c r="A500" s="7">
        <v>2010703</v>
      </c>
      <c r="B500" s="1">
        <v>201007</v>
      </c>
      <c r="C500" s="1">
        <v>2</v>
      </c>
      <c r="D500" s="1">
        <v>50</v>
      </c>
      <c r="E500" s="36" t="s">
        <v>296</v>
      </c>
      <c r="F500" s="1" t="s">
        <v>14</v>
      </c>
      <c r="G500" s="1" t="s">
        <v>72</v>
      </c>
    </row>
    <row r="501" spans="1:11" x14ac:dyDescent="0.25">
      <c r="A501" s="7">
        <v>2010704</v>
      </c>
      <c r="B501" s="1">
        <v>201007</v>
      </c>
      <c r="C501" s="1">
        <v>3</v>
      </c>
      <c r="D501" s="1">
        <v>100</v>
      </c>
      <c r="E501" s="36" t="s">
        <v>297</v>
      </c>
      <c r="F501" s="1" t="s">
        <v>14</v>
      </c>
      <c r="G501" s="1" t="s">
        <v>72</v>
      </c>
    </row>
    <row r="502" spans="1:11" x14ac:dyDescent="0.25">
      <c r="A502" s="7">
        <v>2010705</v>
      </c>
      <c r="B502" s="1">
        <v>201007</v>
      </c>
      <c r="C502" s="1">
        <v>4</v>
      </c>
      <c r="D502" s="1">
        <v>200</v>
      </c>
      <c r="E502" s="36" t="s">
        <v>298</v>
      </c>
      <c r="F502" s="1" t="s">
        <v>14</v>
      </c>
      <c r="G502" s="1" t="s">
        <v>72</v>
      </c>
    </row>
    <row r="503" spans="1:11" x14ac:dyDescent="0.25">
      <c r="A503" s="7">
        <v>2010706</v>
      </c>
      <c r="B503" s="1">
        <v>201007</v>
      </c>
      <c r="C503" s="1">
        <v>5</v>
      </c>
      <c r="D503" s="1">
        <v>300</v>
      </c>
      <c r="E503" s="36" t="s">
        <v>299</v>
      </c>
      <c r="F503" s="1" t="s">
        <v>14</v>
      </c>
      <c r="G503" s="1" t="s">
        <v>72</v>
      </c>
    </row>
    <row r="504" spans="1:11" x14ac:dyDescent="0.25">
      <c r="A504" s="7">
        <v>2010707</v>
      </c>
      <c r="B504" s="1">
        <v>201007</v>
      </c>
      <c r="C504" s="1">
        <v>6</v>
      </c>
      <c r="D504" s="1">
        <v>400</v>
      </c>
      <c r="E504" s="36" t="s">
        <v>300</v>
      </c>
      <c r="F504" s="1" t="s">
        <v>14</v>
      </c>
      <c r="G504" s="1" t="s">
        <v>72</v>
      </c>
    </row>
    <row r="505" spans="1:11" x14ac:dyDescent="0.25">
      <c r="A505" s="7">
        <v>2010708</v>
      </c>
      <c r="B505" s="1">
        <v>201007</v>
      </c>
      <c r="C505" s="1">
        <v>7</v>
      </c>
      <c r="D505" s="1">
        <v>500</v>
      </c>
      <c r="E505" s="36" t="s">
        <v>301</v>
      </c>
      <c r="F505" s="1" t="s">
        <v>14</v>
      </c>
      <c r="G505" s="1" t="s">
        <v>72</v>
      </c>
    </row>
    <row r="506" spans="1:11" x14ac:dyDescent="0.25">
      <c r="A506" s="7">
        <v>2010709</v>
      </c>
      <c r="B506" s="1">
        <v>201007</v>
      </c>
      <c r="C506" s="1">
        <v>8</v>
      </c>
      <c r="D506" s="1">
        <v>1000</v>
      </c>
      <c r="E506" s="36" t="s">
        <v>302</v>
      </c>
      <c r="F506" s="1" t="s">
        <v>14</v>
      </c>
      <c r="G506" s="1" t="s">
        <v>72</v>
      </c>
    </row>
    <row r="507" spans="1:11" x14ac:dyDescent="0.25">
      <c r="A507" s="7">
        <v>2010710</v>
      </c>
      <c r="B507" s="1">
        <v>201007</v>
      </c>
      <c r="C507" s="1">
        <v>9</v>
      </c>
      <c r="D507" s="1">
        <v>1100</v>
      </c>
      <c r="E507" s="36" t="s">
        <v>303</v>
      </c>
      <c r="F507" s="1" t="s">
        <v>14</v>
      </c>
      <c r="G507" s="1" t="s">
        <v>72</v>
      </c>
    </row>
    <row r="508" spans="1:11" x14ac:dyDescent="0.25">
      <c r="A508" s="1">
        <f>A507+1</f>
        <v>2010711</v>
      </c>
      <c r="B508" s="1">
        <f>B507</f>
        <v>201007</v>
      </c>
      <c r="C508" s="1">
        <f>C507+1</f>
        <v>10</v>
      </c>
      <c r="D508" s="1">
        <f>D507+100</f>
        <v>1200</v>
      </c>
      <c r="E508" s="5" t="str">
        <f>IF(J508=0,J508,J508&amp;K508)</f>
        <v>气血上限+8218</v>
      </c>
      <c r="F508" s="1" t="str">
        <f>F507</f>
        <v>1+0;</v>
      </c>
      <c r="G508" s="1" t="str">
        <f>G507</f>
        <v>太玄混元经</v>
      </c>
      <c r="J508" s="36" t="s">
        <v>310</v>
      </c>
      <c r="K508" s="5"/>
    </row>
    <row r="509" spans="1:11" x14ac:dyDescent="0.25">
      <c r="A509" s="7">
        <v>2010801</v>
      </c>
      <c r="B509" s="1">
        <v>201008</v>
      </c>
      <c r="C509" s="1">
        <v>1</v>
      </c>
      <c r="D509" s="1">
        <v>0</v>
      </c>
      <c r="E509" s="5">
        <v>0</v>
      </c>
      <c r="F509" s="1" t="s">
        <v>14</v>
      </c>
      <c r="G509" s="8" t="s">
        <v>73</v>
      </c>
    </row>
    <row r="510" spans="1:11" x14ac:dyDescent="0.25">
      <c r="A510" s="7">
        <v>2010802</v>
      </c>
      <c r="B510" s="1">
        <v>201008</v>
      </c>
      <c r="C510" s="1">
        <v>1</v>
      </c>
      <c r="D510" s="1">
        <v>10</v>
      </c>
      <c r="E510" s="36" t="s">
        <v>295</v>
      </c>
      <c r="F510" s="1" t="s">
        <v>14</v>
      </c>
      <c r="G510" s="8" t="s">
        <v>73</v>
      </c>
    </row>
    <row r="511" spans="1:11" x14ac:dyDescent="0.25">
      <c r="A511" s="7">
        <v>2010803</v>
      </c>
      <c r="B511" s="1">
        <v>201008</v>
      </c>
      <c r="C511" s="1">
        <v>2</v>
      </c>
      <c r="D511" s="1">
        <v>50</v>
      </c>
      <c r="E511" s="36" t="s">
        <v>296</v>
      </c>
      <c r="F511" s="1" t="s">
        <v>14</v>
      </c>
      <c r="G511" s="8" t="s">
        <v>73</v>
      </c>
    </row>
    <row r="512" spans="1:11" x14ac:dyDescent="0.25">
      <c r="A512" s="7">
        <v>2010804</v>
      </c>
      <c r="B512" s="1">
        <v>201008</v>
      </c>
      <c r="C512" s="1">
        <v>3</v>
      </c>
      <c r="D512" s="1">
        <v>100</v>
      </c>
      <c r="E512" s="36" t="s">
        <v>297</v>
      </c>
      <c r="F512" s="1" t="s">
        <v>14</v>
      </c>
      <c r="G512" s="8" t="s">
        <v>73</v>
      </c>
    </row>
    <row r="513" spans="1:11" x14ac:dyDescent="0.25">
      <c r="A513" s="7">
        <v>2010805</v>
      </c>
      <c r="B513" s="1">
        <v>201008</v>
      </c>
      <c r="C513" s="1">
        <v>4</v>
      </c>
      <c r="D513" s="1">
        <v>200</v>
      </c>
      <c r="E513" s="36" t="s">
        <v>298</v>
      </c>
      <c r="F513" s="1" t="s">
        <v>14</v>
      </c>
      <c r="G513" s="8" t="s">
        <v>73</v>
      </c>
    </row>
    <row r="514" spans="1:11" x14ac:dyDescent="0.25">
      <c r="A514" s="7">
        <v>2010806</v>
      </c>
      <c r="B514" s="1">
        <v>201008</v>
      </c>
      <c r="C514" s="1">
        <v>5</v>
      </c>
      <c r="D514" s="1">
        <v>300</v>
      </c>
      <c r="E514" s="36" t="s">
        <v>299</v>
      </c>
      <c r="F514" s="1" t="s">
        <v>14</v>
      </c>
      <c r="G514" s="8" t="s">
        <v>73</v>
      </c>
    </row>
    <row r="515" spans="1:11" x14ac:dyDescent="0.25">
      <c r="A515" s="7">
        <v>2010807</v>
      </c>
      <c r="B515" s="1">
        <v>201008</v>
      </c>
      <c r="C515" s="1">
        <v>6</v>
      </c>
      <c r="D515" s="1">
        <v>400</v>
      </c>
      <c r="E515" s="36" t="s">
        <v>300</v>
      </c>
      <c r="F515" s="1" t="s">
        <v>14</v>
      </c>
      <c r="G515" s="8" t="s">
        <v>73</v>
      </c>
    </row>
    <row r="516" spans="1:11" x14ac:dyDescent="0.25">
      <c r="A516" s="7">
        <v>2010808</v>
      </c>
      <c r="B516" s="1">
        <v>201008</v>
      </c>
      <c r="C516" s="1">
        <v>7</v>
      </c>
      <c r="D516" s="1">
        <v>500</v>
      </c>
      <c r="E516" s="36" t="s">
        <v>301</v>
      </c>
      <c r="F516" s="1" t="s">
        <v>14</v>
      </c>
      <c r="G516" s="8" t="s">
        <v>73</v>
      </c>
    </row>
    <row r="517" spans="1:11" x14ac:dyDescent="0.25">
      <c r="A517" s="7">
        <v>2010809</v>
      </c>
      <c r="B517" s="1">
        <v>201008</v>
      </c>
      <c r="C517" s="1">
        <v>8</v>
      </c>
      <c r="D517" s="1">
        <v>1000</v>
      </c>
      <c r="E517" s="36" t="s">
        <v>302</v>
      </c>
      <c r="F517" s="1" t="s">
        <v>14</v>
      </c>
      <c r="G517" s="8" t="s">
        <v>73</v>
      </c>
    </row>
    <row r="518" spans="1:11" x14ac:dyDescent="0.25">
      <c r="A518" s="7">
        <v>2010810</v>
      </c>
      <c r="B518" s="1">
        <v>201008</v>
      </c>
      <c r="C518" s="1">
        <v>9</v>
      </c>
      <c r="D518" s="1">
        <v>1100</v>
      </c>
      <c r="E518" s="36" t="s">
        <v>303</v>
      </c>
      <c r="F518" s="1" t="s">
        <v>14</v>
      </c>
      <c r="G518" s="8" t="s">
        <v>73</v>
      </c>
    </row>
    <row r="519" spans="1:11" x14ac:dyDescent="0.25">
      <c r="A519" s="1">
        <f>A518+1</f>
        <v>2010811</v>
      </c>
      <c r="B519" s="1">
        <f>B518</f>
        <v>201008</v>
      </c>
      <c r="C519" s="1">
        <f>C518+1</f>
        <v>10</v>
      </c>
      <c r="D519" s="1">
        <f>D518+100</f>
        <v>1200</v>
      </c>
      <c r="E519" s="5" t="str">
        <f>IF(J519=0,J519,J519&amp;K519)</f>
        <v>气血上限+8218</v>
      </c>
      <c r="F519" s="1" t="str">
        <f>F518</f>
        <v>1+0;</v>
      </c>
      <c r="G519" s="1" t="str">
        <f>G518</f>
        <v>悟玄参契</v>
      </c>
      <c r="J519" s="36" t="s">
        <v>310</v>
      </c>
      <c r="K519" s="5"/>
    </row>
    <row r="520" spans="1:11" x14ac:dyDescent="0.25">
      <c r="A520" s="7">
        <v>2010901</v>
      </c>
      <c r="B520" s="1">
        <v>201009</v>
      </c>
      <c r="C520" s="1">
        <v>1</v>
      </c>
      <c r="D520" s="1">
        <v>0</v>
      </c>
      <c r="E520" s="5">
        <v>0</v>
      </c>
      <c r="F520" s="1" t="s">
        <v>14</v>
      </c>
      <c r="G520" s="8" t="s">
        <v>74</v>
      </c>
    </row>
    <row r="521" spans="1:11" x14ac:dyDescent="0.25">
      <c r="A521" s="7">
        <v>2010902</v>
      </c>
      <c r="B521" s="1">
        <v>201009</v>
      </c>
      <c r="C521" s="1">
        <v>1</v>
      </c>
      <c r="D521" s="1">
        <v>10</v>
      </c>
      <c r="E521" s="36" t="s">
        <v>295</v>
      </c>
      <c r="F521" s="1" t="s">
        <v>14</v>
      </c>
      <c r="G521" s="8" t="s">
        <v>74</v>
      </c>
    </row>
    <row r="522" spans="1:11" x14ac:dyDescent="0.25">
      <c r="A522" s="7">
        <v>2010903</v>
      </c>
      <c r="B522" s="1">
        <v>201009</v>
      </c>
      <c r="C522" s="1">
        <v>2</v>
      </c>
      <c r="D522" s="1">
        <v>50</v>
      </c>
      <c r="E522" s="36" t="s">
        <v>296</v>
      </c>
      <c r="F522" s="1" t="s">
        <v>14</v>
      </c>
      <c r="G522" s="8" t="s">
        <v>74</v>
      </c>
    </row>
    <row r="523" spans="1:11" x14ac:dyDescent="0.25">
      <c r="A523" s="7">
        <v>2010904</v>
      </c>
      <c r="B523" s="1">
        <v>201009</v>
      </c>
      <c r="C523" s="1">
        <v>3</v>
      </c>
      <c r="D523" s="1">
        <v>100</v>
      </c>
      <c r="E523" s="36" t="s">
        <v>297</v>
      </c>
      <c r="F523" s="1" t="s">
        <v>14</v>
      </c>
      <c r="G523" s="8" t="s">
        <v>74</v>
      </c>
    </row>
    <row r="524" spans="1:11" x14ac:dyDescent="0.25">
      <c r="A524" s="7">
        <v>2010905</v>
      </c>
      <c r="B524" s="1">
        <v>201009</v>
      </c>
      <c r="C524" s="1">
        <v>4</v>
      </c>
      <c r="D524" s="1">
        <v>200</v>
      </c>
      <c r="E524" s="36" t="s">
        <v>298</v>
      </c>
      <c r="F524" s="1" t="s">
        <v>14</v>
      </c>
      <c r="G524" s="8" t="s">
        <v>74</v>
      </c>
    </row>
    <row r="525" spans="1:11" x14ac:dyDescent="0.25">
      <c r="A525" s="7">
        <v>2010906</v>
      </c>
      <c r="B525" s="1">
        <v>201009</v>
      </c>
      <c r="C525" s="1">
        <v>5</v>
      </c>
      <c r="D525" s="1">
        <v>300</v>
      </c>
      <c r="E525" s="36" t="s">
        <v>299</v>
      </c>
      <c r="F525" s="1" t="s">
        <v>14</v>
      </c>
      <c r="G525" s="8" t="s">
        <v>74</v>
      </c>
    </row>
    <row r="526" spans="1:11" x14ac:dyDescent="0.25">
      <c r="A526" s="7">
        <v>2010907</v>
      </c>
      <c r="B526" s="1">
        <v>201009</v>
      </c>
      <c r="C526" s="1">
        <v>6</v>
      </c>
      <c r="D526" s="1">
        <v>400</v>
      </c>
      <c r="E526" s="36" t="s">
        <v>300</v>
      </c>
      <c r="F526" s="1" t="s">
        <v>14</v>
      </c>
      <c r="G526" s="8" t="s">
        <v>74</v>
      </c>
    </row>
    <row r="527" spans="1:11" x14ac:dyDescent="0.25">
      <c r="A527" s="7">
        <v>2010908</v>
      </c>
      <c r="B527" s="1">
        <v>201009</v>
      </c>
      <c r="C527" s="1">
        <v>7</v>
      </c>
      <c r="D527" s="1">
        <v>500</v>
      </c>
      <c r="E527" s="36" t="s">
        <v>301</v>
      </c>
      <c r="F527" s="1" t="s">
        <v>14</v>
      </c>
      <c r="G527" s="8" t="s">
        <v>74</v>
      </c>
    </row>
    <row r="528" spans="1:11" x14ac:dyDescent="0.25">
      <c r="A528" s="7">
        <v>2010909</v>
      </c>
      <c r="B528" s="1">
        <v>201009</v>
      </c>
      <c r="C528" s="1">
        <v>8</v>
      </c>
      <c r="D528" s="1">
        <v>1000</v>
      </c>
      <c r="E528" s="36" t="s">
        <v>302</v>
      </c>
      <c r="F528" s="1" t="s">
        <v>14</v>
      </c>
      <c r="G528" s="8" t="s">
        <v>74</v>
      </c>
    </row>
    <row r="529" spans="1:11" x14ac:dyDescent="0.25">
      <c r="A529" s="7">
        <v>2010910</v>
      </c>
      <c r="B529" s="1">
        <v>201009</v>
      </c>
      <c r="C529" s="1">
        <v>9</v>
      </c>
      <c r="D529" s="1">
        <v>1100</v>
      </c>
      <c r="E529" s="36" t="s">
        <v>303</v>
      </c>
      <c r="F529" s="1" t="s">
        <v>14</v>
      </c>
      <c r="G529" s="8" t="s">
        <v>74</v>
      </c>
    </row>
    <row r="530" spans="1:11" x14ac:dyDescent="0.25">
      <c r="A530" s="1">
        <f>A529+1</f>
        <v>2010911</v>
      </c>
      <c r="B530" s="1">
        <f>B529</f>
        <v>201009</v>
      </c>
      <c r="C530" s="1">
        <f>C529+1</f>
        <v>10</v>
      </c>
      <c r="D530" s="1">
        <f>D529+100</f>
        <v>1200</v>
      </c>
      <c r="E530" s="5" t="str">
        <f>IF(J530=0,J530,J530&amp;K530)</f>
        <v>气血上限+8218</v>
      </c>
      <c r="F530" s="1" t="str">
        <f>F529</f>
        <v>1+0;</v>
      </c>
      <c r="G530" s="1" t="str">
        <f>G529</f>
        <v>吸星噬寰图</v>
      </c>
      <c r="J530" s="36" t="s">
        <v>310</v>
      </c>
      <c r="K530" s="5"/>
    </row>
    <row r="531" spans="1:11" x14ac:dyDescent="0.25">
      <c r="A531" s="7">
        <v>2011001</v>
      </c>
      <c r="B531" s="1">
        <v>201010</v>
      </c>
      <c r="C531" s="1">
        <v>1</v>
      </c>
      <c r="D531" s="1">
        <v>0</v>
      </c>
      <c r="E531" s="5">
        <v>0</v>
      </c>
      <c r="F531" s="1" t="s">
        <v>14</v>
      </c>
      <c r="G531" s="8" t="s">
        <v>75</v>
      </c>
    </row>
    <row r="532" spans="1:11" x14ac:dyDescent="0.25">
      <c r="A532" s="7">
        <v>2011002</v>
      </c>
      <c r="B532" s="1">
        <v>201010</v>
      </c>
      <c r="C532" s="1">
        <v>1</v>
      </c>
      <c r="D532" s="1">
        <v>10</v>
      </c>
      <c r="E532" s="36" t="s">
        <v>295</v>
      </c>
      <c r="F532" s="1" t="s">
        <v>14</v>
      </c>
      <c r="G532" s="8" t="s">
        <v>75</v>
      </c>
    </row>
    <row r="533" spans="1:11" x14ac:dyDescent="0.25">
      <c r="A533" s="7">
        <v>2011003</v>
      </c>
      <c r="B533" s="1">
        <v>201010</v>
      </c>
      <c r="C533" s="1">
        <v>2</v>
      </c>
      <c r="D533" s="1">
        <v>50</v>
      </c>
      <c r="E533" s="36" t="s">
        <v>296</v>
      </c>
      <c r="F533" s="1" t="s">
        <v>14</v>
      </c>
      <c r="G533" s="8" t="s">
        <v>75</v>
      </c>
    </row>
    <row r="534" spans="1:11" x14ac:dyDescent="0.25">
      <c r="A534" s="7">
        <v>2011004</v>
      </c>
      <c r="B534" s="1">
        <v>201010</v>
      </c>
      <c r="C534" s="1">
        <v>3</v>
      </c>
      <c r="D534" s="1">
        <v>100</v>
      </c>
      <c r="E534" s="36" t="s">
        <v>297</v>
      </c>
      <c r="F534" s="1" t="s">
        <v>14</v>
      </c>
      <c r="G534" s="8" t="s">
        <v>75</v>
      </c>
    </row>
    <row r="535" spans="1:11" x14ac:dyDescent="0.25">
      <c r="A535" s="7">
        <v>2011005</v>
      </c>
      <c r="B535" s="1">
        <v>201010</v>
      </c>
      <c r="C535" s="1">
        <v>4</v>
      </c>
      <c r="D535" s="1">
        <v>200</v>
      </c>
      <c r="E535" s="36" t="s">
        <v>298</v>
      </c>
      <c r="F535" s="1" t="s">
        <v>14</v>
      </c>
      <c r="G535" s="8" t="s">
        <v>75</v>
      </c>
    </row>
    <row r="536" spans="1:11" x14ac:dyDescent="0.25">
      <c r="A536" s="7">
        <v>2011006</v>
      </c>
      <c r="B536" s="1">
        <v>201010</v>
      </c>
      <c r="C536" s="1">
        <v>5</v>
      </c>
      <c r="D536" s="1">
        <v>300</v>
      </c>
      <c r="E536" s="36" t="s">
        <v>299</v>
      </c>
      <c r="F536" s="1" t="s">
        <v>14</v>
      </c>
      <c r="G536" s="8" t="s">
        <v>75</v>
      </c>
    </row>
    <row r="537" spans="1:11" x14ac:dyDescent="0.25">
      <c r="A537" s="7">
        <v>2011007</v>
      </c>
      <c r="B537" s="1">
        <v>201010</v>
      </c>
      <c r="C537" s="1">
        <v>6</v>
      </c>
      <c r="D537" s="1">
        <v>400</v>
      </c>
      <c r="E537" s="36" t="s">
        <v>300</v>
      </c>
      <c r="F537" s="1" t="s">
        <v>14</v>
      </c>
      <c r="G537" s="8" t="s">
        <v>75</v>
      </c>
    </row>
    <row r="538" spans="1:11" x14ac:dyDescent="0.25">
      <c r="A538" s="7">
        <v>2011008</v>
      </c>
      <c r="B538" s="1">
        <v>201010</v>
      </c>
      <c r="C538" s="1">
        <v>7</v>
      </c>
      <c r="D538" s="1">
        <v>500</v>
      </c>
      <c r="E538" s="36" t="s">
        <v>301</v>
      </c>
      <c r="F538" s="1" t="s">
        <v>14</v>
      </c>
      <c r="G538" s="8" t="s">
        <v>75</v>
      </c>
    </row>
    <row r="539" spans="1:11" x14ac:dyDescent="0.25">
      <c r="A539" s="7">
        <v>2011009</v>
      </c>
      <c r="B539" s="1">
        <v>201010</v>
      </c>
      <c r="C539" s="1">
        <v>8</v>
      </c>
      <c r="D539" s="1">
        <v>1000</v>
      </c>
      <c r="E539" s="36" t="s">
        <v>302</v>
      </c>
      <c r="F539" s="1" t="s">
        <v>14</v>
      </c>
      <c r="G539" s="8" t="s">
        <v>75</v>
      </c>
    </row>
    <row r="540" spans="1:11" x14ac:dyDescent="0.25">
      <c r="A540" s="7">
        <v>2011010</v>
      </c>
      <c r="B540" s="1">
        <v>201010</v>
      </c>
      <c r="C540" s="1">
        <v>9</v>
      </c>
      <c r="D540" s="1">
        <v>1100</v>
      </c>
      <c r="E540" s="36" t="s">
        <v>303</v>
      </c>
      <c r="F540" s="1" t="s">
        <v>14</v>
      </c>
      <c r="G540" s="8" t="s">
        <v>75</v>
      </c>
    </row>
    <row r="541" spans="1:11" x14ac:dyDescent="0.25">
      <c r="A541" s="1">
        <f>A540+1</f>
        <v>2011011</v>
      </c>
      <c r="B541" s="1">
        <f>B540</f>
        <v>201010</v>
      </c>
      <c r="C541" s="1">
        <f>C540+1</f>
        <v>10</v>
      </c>
      <c r="D541" s="1">
        <f>D540+100</f>
        <v>1200</v>
      </c>
      <c r="E541" s="5" t="str">
        <f>IF(J541=0,J541,J541&amp;K541)</f>
        <v>气血上限+8218</v>
      </c>
      <c r="F541" s="1" t="str">
        <f>F540</f>
        <v>1+0;</v>
      </c>
      <c r="G541" s="1" t="str">
        <f>G540</f>
        <v>湘竹葬兰书</v>
      </c>
      <c r="J541" s="36" t="s">
        <v>310</v>
      </c>
      <c r="K541" s="5"/>
    </row>
    <row r="542" spans="1:11" x14ac:dyDescent="0.25">
      <c r="A542" s="9">
        <v>2011101</v>
      </c>
      <c r="B542" s="1">
        <v>201011</v>
      </c>
      <c r="C542" s="9">
        <v>1</v>
      </c>
      <c r="D542" s="9">
        <v>0</v>
      </c>
      <c r="E542" s="5">
        <v>0</v>
      </c>
      <c r="F542" s="1" t="s">
        <v>14</v>
      </c>
      <c r="G542" s="9" t="s">
        <v>76</v>
      </c>
      <c r="H542" s="9" t="s">
        <v>77</v>
      </c>
    </row>
    <row r="543" spans="1:11" x14ac:dyDescent="0.25">
      <c r="A543" s="9">
        <v>2011102</v>
      </c>
      <c r="B543" s="1">
        <v>201011</v>
      </c>
      <c r="C543" s="9">
        <v>1</v>
      </c>
      <c r="D543" s="9">
        <v>10</v>
      </c>
      <c r="E543" s="36" t="s">
        <v>295</v>
      </c>
      <c r="F543" s="1" t="s">
        <v>14</v>
      </c>
      <c r="G543" s="9" t="s">
        <v>76</v>
      </c>
      <c r="H543" s="9" t="s">
        <v>78</v>
      </c>
    </row>
    <row r="544" spans="1:11" x14ac:dyDescent="0.25">
      <c r="A544" s="9">
        <v>2011103</v>
      </c>
      <c r="B544" s="1">
        <v>201011</v>
      </c>
      <c r="C544" s="9">
        <v>2</v>
      </c>
      <c r="D544" s="9">
        <v>50</v>
      </c>
      <c r="E544" s="36" t="s">
        <v>296</v>
      </c>
      <c r="F544" s="1" t="s">
        <v>14</v>
      </c>
      <c r="G544" s="9" t="s">
        <v>76</v>
      </c>
      <c r="H544" s="9" t="s">
        <v>79</v>
      </c>
    </row>
    <row r="545" spans="1:11" x14ac:dyDescent="0.25">
      <c r="A545" s="9">
        <v>2011104</v>
      </c>
      <c r="B545" s="1">
        <v>201011</v>
      </c>
      <c r="C545" s="9">
        <v>3</v>
      </c>
      <c r="D545" s="9">
        <v>100</v>
      </c>
      <c r="E545" s="36" t="s">
        <v>297</v>
      </c>
      <c r="F545" s="1" t="s">
        <v>14</v>
      </c>
      <c r="G545" s="9" t="s">
        <v>76</v>
      </c>
      <c r="H545" s="9" t="s">
        <v>80</v>
      </c>
    </row>
    <row r="546" spans="1:11" x14ac:dyDescent="0.25">
      <c r="A546" s="9">
        <v>2011105</v>
      </c>
      <c r="B546" s="1">
        <v>201011</v>
      </c>
      <c r="C546" s="9">
        <v>4</v>
      </c>
      <c r="D546" s="9">
        <v>200</v>
      </c>
      <c r="E546" s="36" t="s">
        <v>298</v>
      </c>
      <c r="F546" s="1" t="s">
        <v>14</v>
      </c>
      <c r="G546" s="9" t="s">
        <v>76</v>
      </c>
      <c r="H546" s="9" t="s">
        <v>81</v>
      </c>
    </row>
    <row r="547" spans="1:11" x14ac:dyDescent="0.25">
      <c r="A547" s="9">
        <v>2011106</v>
      </c>
      <c r="B547" s="1">
        <v>201011</v>
      </c>
      <c r="C547" s="9">
        <v>5</v>
      </c>
      <c r="D547" s="9">
        <v>300</v>
      </c>
      <c r="E547" s="36" t="s">
        <v>299</v>
      </c>
      <c r="F547" s="1" t="s">
        <v>14</v>
      </c>
      <c r="G547" s="9" t="s">
        <v>76</v>
      </c>
      <c r="H547" s="9" t="s">
        <v>82</v>
      </c>
    </row>
    <row r="548" spans="1:11" x14ac:dyDescent="0.25">
      <c r="A548" s="9">
        <v>2011107</v>
      </c>
      <c r="B548" s="1">
        <v>201011</v>
      </c>
      <c r="C548" s="9">
        <v>6</v>
      </c>
      <c r="D548" s="9">
        <v>400</v>
      </c>
      <c r="E548" s="36" t="s">
        <v>300</v>
      </c>
      <c r="F548" s="1" t="s">
        <v>14</v>
      </c>
      <c r="G548" s="9" t="s">
        <v>76</v>
      </c>
      <c r="H548" s="9" t="s">
        <v>83</v>
      </c>
    </row>
    <row r="549" spans="1:11" x14ac:dyDescent="0.25">
      <c r="A549" s="9">
        <v>2011108</v>
      </c>
      <c r="B549" s="1">
        <v>201011</v>
      </c>
      <c r="C549" s="9">
        <v>7</v>
      </c>
      <c r="D549" s="9">
        <v>500</v>
      </c>
      <c r="E549" s="36" t="s">
        <v>301</v>
      </c>
      <c r="F549" s="1" t="s">
        <v>14</v>
      </c>
      <c r="G549" s="9" t="s">
        <v>76</v>
      </c>
      <c r="H549" s="9" t="s">
        <v>84</v>
      </c>
    </row>
    <row r="550" spans="1:11" x14ac:dyDescent="0.25">
      <c r="A550" s="9">
        <v>2011109</v>
      </c>
      <c r="B550" s="1">
        <v>201011</v>
      </c>
      <c r="C550" s="9">
        <v>8</v>
      </c>
      <c r="D550" s="9">
        <v>1000</v>
      </c>
      <c r="E550" s="36" t="s">
        <v>302</v>
      </c>
      <c r="F550" s="1" t="s">
        <v>14</v>
      </c>
      <c r="G550" s="9" t="s">
        <v>76</v>
      </c>
      <c r="H550" s="9" t="s">
        <v>84</v>
      </c>
    </row>
    <row r="551" spans="1:11" x14ac:dyDescent="0.25">
      <c r="A551" s="9">
        <v>2011110</v>
      </c>
      <c r="B551" s="1">
        <v>201011</v>
      </c>
      <c r="C551" s="9">
        <v>9</v>
      </c>
      <c r="D551" s="9">
        <v>1100</v>
      </c>
      <c r="E551" s="36" t="s">
        <v>303</v>
      </c>
      <c r="F551" s="1" t="s">
        <v>14</v>
      </c>
      <c r="G551" s="9" t="s">
        <v>76</v>
      </c>
      <c r="H551" s="9" t="s">
        <v>84</v>
      </c>
    </row>
    <row r="552" spans="1:11" x14ac:dyDescent="0.25">
      <c r="A552" s="1">
        <f>A551+1</f>
        <v>2011111</v>
      </c>
      <c r="B552" s="1">
        <f>B551</f>
        <v>201011</v>
      </c>
      <c r="C552" s="1">
        <f>C551+1</f>
        <v>10</v>
      </c>
      <c r="D552" s="1">
        <f>D551+100</f>
        <v>1200</v>
      </c>
      <c r="E552" s="5" t="str">
        <f>IF(J552=0,J552,J552&amp;K552)</f>
        <v>气血上限+8218</v>
      </c>
      <c r="F552" s="1" t="str">
        <f>F551</f>
        <v>1+0;</v>
      </c>
      <c r="G552" s="1" t="str">
        <f>G551</f>
        <v>昭霞别册</v>
      </c>
      <c r="J552" s="36" t="s">
        <v>310</v>
      </c>
      <c r="K552" s="5"/>
    </row>
    <row r="553" spans="1:11" x14ac:dyDescent="0.25">
      <c r="A553" s="10">
        <v>2011201</v>
      </c>
      <c r="B553" s="1">
        <v>201012</v>
      </c>
      <c r="C553" s="10">
        <v>1</v>
      </c>
      <c r="D553" s="10">
        <v>0</v>
      </c>
      <c r="E553" s="5">
        <v>0</v>
      </c>
      <c r="F553" s="1" t="s">
        <v>14</v>
      </c>
      <c r="G553" s="10" t="s">
        <v>85</v>
      </c>
      <c r="H553" s="10" t="s">
        <v>86</v>
      </c>
    </row>
    <row r="554" spans="1:11" x14ac:dyDescent="0.25">
      <c r="A554" s="10">
        <v>2011202</v>
      </c>
      <c r="B554" s="1">
        <v>201012</v>
      </c>
      <c r="C554" s="10">
        <v>1</v>
      </c>
      <c r="D554" s="10">
        <v>10</v>
      </c>
      <c r="E554" s="36" t="s">
        <v>295</v>
      </c>
      <c r="F554" s="1" t="s">
        <v>14</v>
      </c>
      <c r="G554" s="10" t="s">
        <v>85</v>
      </c>
      <c r="H554" s="10" t="s">
        <v>87</v>
      </c>
    </row>
    <row r="555" spans="1:11" x14ac:dyDescent="0.25">
      <c r="A555" s="10">
        <v>2011203</v>
      </c>
      <c r="B555" s="1">
        <v>201012</v>
      </c>
      <c r="C555" s="10">
        <v>2</v>
      </c>
      <c r="D555" s="10">
        <v>50</v>
      </c>
      <c r="E555" s="36" t="s">
        <v>296</v>
      </c>
      <c r="F555" s="1" t="s">
        <v>14</v>
      </c>
      <c r="G555" s="10" t="s">
        <v>85</v>
      </c>
      <c r="H555" s="10" t="s">
        <v>88</v>
      </c>
    </row>
    <row r="556" spans="1:11" x14ac:dyDescent="0.25">
      <c r="A556" s="11">
        <v>2011204</v>
      </c>
      <c r="B556" s="1">
        <v>201012</v>
      </c>
      <c r="C556" s="11">
        <v>3</v>
      </c>
      <c r="D556" s="11">
        <v>100</v>
      </c>
      <c r="E556" s="36" t="s">
        <v>297</v>
      </c>
      <c r="F556" s="1" t="s">
        <v>14</v>
      </c>
      <c r="G556" s="11" t="s">
        <v>85</v>
      </c>
      <c r="H556" s="11" t="s">
        <v>89</v>
      </c>
    </row>
    <row r="557" spans="1:11" x14ac:dyDescent="0.25">
      <c r="A557" s="11">
        <v>2011205</v>
      </c>
      <c r="B557" s="1">
        <v>201012</v>
      </c>
      <c r="C557" s="11">
        <v>4</v>
      </c>
      <c r="D557" s="11">
        <v>200</v>
      </c>
      <c r="E557" s="36" t="s">
        <v>298</v>
      </c>
      <c r="F557" s="1" t="s">
        <v>14</v>
      </c>
      <c r="G557" s="11" t="s">
        <v>85</v>
      </c>
      <c r="H557" s="11" t="s">
        <v>90</v>
      </c>
    </row>
    <row r="558" spans="1:11" x14ac:dyDescent="0.25">
      <c r="A558" s="11">
        <v>2011206</v>
      </c>
      <c r="B558" s="1">
        <v>201012</v>
      </c>
      <c r="C558" s="11">
        <v>5</v>
      </c>
      <c r="D558" s="11">
        <v>300</v>
      </c>
      <c r="E558" s="36" t="s">
        <v>299</v>
      </c>
      <c r="F558" s="1" t="s">
        <v>14</v>
      </c>
      <c r="G558" s="11" t="s">
        <v>85</v>
      </c>
      <c r="H558" s="11" t="s">
        <v>91</v>
      </c>
    </row>
    <row r="559" spans="1:11" x14ac:dyDescent="0.25">
      <c r="A559" s="11">
        <v>2011207</v>
      </c>
      <c r="B559" s="1">
        <v>201012</v>
      </c>
      <c r="C559" s="11">
        <v>6</v>
      </c>
      <c r="D559" s="11">
        <v>400</v>
      </c>
      <c r="E559" s="36" t="s">
        <v>300</v>
      </c>
      <c r="F559" s="1" t="s">
        <v>14</v>
      </c>
      <c r="G559" s="11" t="s">
        <v>85</v>
      </c>
      <c r="H559" s="11" t="s">
        <v>92</v>
      </c>
    </row>
    <row r="560" spans="1:11" x14ac:dyDescent="0.25">
      <c r="A560" s="11">
        <v>2011208</v>
      </c>
      <c r="B560" s="1">
        <v>201012</v>
      </c>
      <c r="C560" s="11">
        <v>7</v>
      </c>
      <c r="D560" s="11">
        <v>500</v>
      </c>
      <c r="E560" s="36" t="s">
        <v>301</v>
      </c>
      <c r="F560" s="1" t="s">
        <v>14</v>
      </c>
      <c r="G560" s="11" t="s">
        <v>85</v>
      </c>
      <c r="H560" s="11" t="s">
        <v>93</v>
      </c>
    </row>
    <row r="561" spans="1:11" x14ac:dyDescent="0.25">
      <c r="A561" s="11">
        <v>2011209</v>
      </c>
      <c r="B561" s="1">
        <v>201012</v>
      </c>
      <c r="C561" s="11">
        <v>8</v>
      </c>
      <c r="D561" s="11">
        <v>1000</v>
      </c>
      <c r="E561" s="36" t="s">
        <v>302</v>
      </c>
      <c r="F561" s="1" t="s">
        <v>14</v>
      </c>
      <c r="G561" s="11" t="s">
        <v>85</v>
      </c>
      <c r="H561" s="11" t="s">
        <v>93</v>
      </c>
    </row>
    <row r="562" spans="1:11" x14ac:dyDescent="0.25">
      <c r="A562" s="11">
        <v>2011210</v>
      </c>
      <c r="B562" s="1">
        <v>201012</v>
      </c>
      <c r="C562" s="11">
        <v>9</v>
      </c>
      <c r="D562" s="11">
        <v>1100</v>
      </c>
      <c r="E562" s="36" t="s">
        <v>303</v>
      </c>
      <c r="F562" s="1" t="s">
        <v>14</v>
      </c>
      <c r="G562" s="11" t="s">
        <v>85</v>
      </c>
      <c r="H562" s="11" t="s">
        <v>93</v>
      </c>
    </row>
    <row r="563" spans="1:11" x14ac:dyDescent="0.25">
      <c r="A563" s="1">
        <f>A562+1</f>
        <v>2011211</v>
      </c>
      <c r="B563" s="1">
        <f>B562</f>
        <v>201012</v>
      </c>
      <c r="C563" s="1">
        <f>C562+1</f>
        <v>10</v>
      </c>
      <c r="D563" s="1">
        <f>D562+100</f>
        <v>1200</v>
      </c>
      <c r="E563" s="5" t="str">
        <f>IF(J563=0,J563,J563&amp;K563)</f>
        <v>气血上限+8218</v>
      </c>
      <c r="F563" s="1" t="str">
        <f>F562</f>
        <v>1+0;</v>
      </c>
      <c r="G563" s="1" t="str">
        <f>G562</f>
        <v>禅音狮子吼</v>
      </c>
      <c r="J563" s="36" t="s">
        <v>310</v>
      </c>
      <c r="K563" s="5"/>
    </row>
    <row r="564" spans="1:11" x14ac:dyDescent="0.25">
      <c r="A564" s="12">
        <v>2011301</v>
      </c>
      <c r="B564" s="1">
        <v>201013</v>
      </c>
      <c r="C564" s="12">
        <v>1</v>
      </c>
      <c r="D564" s="12">
        <v>0</v>
      </c>
      <c r="E564" s="5">
        <v>0</v>
      </c>
      <c r="F564" s="1" t="s">
        <v>14</v>
      </c>
      <c r="G564" s="12" t="s">
        <v>94</v>
      </c>
      <c r="H564" s="12" t="s">
        <v>95</v>
      </c>
    </row>
    <row r="565" spans="1:11" x14ac:dyDescent="0.25">
      <c r="A565" s="12">
        <v>2011302</v>
      </c>
      <c r="B565" s="1">
        <v>201013</v>
      </c>
      <c r="C565" s="12">
        <v>1</v>
      </c>
      <c r="D565" s="12">
        <v>10</v>
      </c>
      <c r="E565" s="36" t="s">
        <v>295</v>
      </c>
      <c r="F565" s="1" t="s">
        <v>14</v>
      </c>
      <c r="G565" s="12" t="s">
        <v>94</v>
      </c>
      <c r="H565" s="12" t="s">
        <v>96</v>
      </c>
    </row>
    <row r="566" spans="1:11" x14ac:dyDescent="0.25">
      <c r="A566" s="12">
        <v>2011303</v>
      </c>
      <c r="B566" s="1">
        <v>201013</v>
      </c>
      <c r="C566" s="12">
        <v>2</v>
      </c>
      <c r="D566" s="12">
        <v>50</v>
      </c>
      <c r="E566" s="36" t="s">
        <v>296</v>
      </c>
      <c r="F566" s="1" t="s">
        <v>14</v>
      </c>
      <c r="G566" s="12" t="s">
        <v>94</v>
      </c>
      <c r="H566" s="12" t="s">
        <v>97</v>
      </c>
    </row>
    <row r="567" spans="1:11" x14ac:dyDescent="0.25">
      <c r="A567" s="12">
        <v>2011304</v>
      </c>
      <c r="B567" s="1">
        <v>201013</v>
      </c>
      <c r="C567" s="12">
        <v>3</v>
      </c>
      <c r="D567" s="12">
        <v>100</v>
      </c>
      <c r="E567" s="36" t="s">
        <v>297</v>
      </c>
      <c r="F567" s="1" t="s">
        <v>14</v>
      </c>
      <c r="G567" s="12" t="s">
        <v>94</v>
      </c>
      <c r="H567" s="12" t="s">
        <v>98</v>
      </c>
    </row>
    <row r="568" spans="1:11" x14ac:dyDescent="0.25">
      <c r="A568" s="12">
        <v>2011305</v>
      </c>
      <c r="B568" s="1">
        <v>201013</v>
      </c>
      <c r="C568" s="12">
        <v>4</v>
      </c>
      <c r="D568" s="12">
        <v>200</v>
      </c>
      <c r="E568" s="36" t="s">
        <v>298</v>
      </c>
      <c r="F568" s="1" t="s">
        <v>14</v>
      </c>
      <c r="G568" s="12" t="s">
        <v>94</v>
      </c>
      <c r="H568" s="12" t="s">
        <v>99</v>
      </c>
    </row>
    <row r="569" spans="1:11" x14ac:dyDescent="0.25">
      <c r="A569" s="12">
        <v>2011306</v>
      </c>
      <c r="B569" s="1">
        <v>201013</v>
      </c>
      <c r="C569" s="12">
        <v>5</v>
      </c>
      <c r="D569" s="12">
        <v>300</v>
      </c>
      <c r="E569" s="36" t="s">
        <v>299</v>
      </c>
      <c r="F569" s="1" t="s">
        <v>14</v>
      </c>
      <c r="G569" s="12" t="s">
        <v>94</v>
      </c>
      <c r="H569" s="12" t="s">
        <v>100</v>
      </c>
    </row>
    <row r="570" spans="1:11" x14ac:dyDescent="0.25">
      <c r="A570" s="12">
        <v>2011307</v>
      </c>
      <c r="B570" s="1">
        <v>201013</v>
      </c>
      <c r="C570" s="12">
        <v>6</v>
      </c>
      <c r="D570" s="12">
        <v>400</v>
      </c>
      <c r="E570" s="36" t="s">
        <v>300</v>
      </c>
      <c r="F570" s="1" t="s">
        <v>14</v>
      </c>
      <c r="G570" s="12" t="s">
        <v>94</v>
      </c>
      <c r="H570" s="12" t="s">
        <v>101</v>
      </c>
    </row>
    <row r="571" spans="1:11" x14ac:dyDescent="0.25">
      <c r="A571" s="12">
        <v>2011308</v>
      </c>
      <c r="B571" s="1">
        <v>201013</v>
      </c>
      <c r="C571" s="12">
        <v>7</v>
      </c>
      <c r="D571" s="12">
        <v>500</v>
      </c>
      <c r="E571" s="36" t="s">
        <v>301</v>
      </c>
      <c r="F571" s="1" t="s">
        <v>14</v>
      </c>
      <c r="G571" s="12" t="s">
        <v>94</v>
      </c>
      <c r="H571" s="12" t="s">
        <v>102</v>
      </c>
    </row>
    <row r="572" spans="1:11" x14ac:dyDescent="0.25">
      <c r="A572" s="12">
        <v>2011309</v>
      </c>
      <c r="B572" s="1">
        <v>201013</v>
      </c>
      <c r="C572" s="12">
        <v>8</v>
      </c>
      <c r="D572" s="12">
        <v>1000</v>
      </c>
      <c r="E572" s="36" t="s">
        <v>302</v>
      </c>
      <c r="F572" s="1" t="s">
        <v>14</v>
      </c>
      <c r="G572" s="12" t="s">
        <v>94</v>
      </c>
      <c r="H572" s="12" t="s">
        <v>102</v>
      </c>
    </row>
    <row r="573" spans="1:11" x14ac:dyDescent="0.25">
      <c r="A573" s="12">
        <v>2011310</v>
      </c>
      <c r="B573" s="1">
        <v>201013</v>
      </c>
      <c r="C573" s="12">
        <v>9</v>
      </c>
      <c r="D573" s="12">
        <v>1100</v>
      </c>
      <c r="E573" s="36" t="s">
        <v>303</v>
      </c>
      <c r="F573" s="1" t="s">
        <v>14</v>
      </c>
      <c r="G573" s="12" t="s">
        <v>94</v>
      </c>
      <c r="H573" s="12" t="s">
        <v>102</v>
      </c>
    </row>
    <row r="574" spans="1:11" x14ac:dyDescent="0.25">
      <c r="A574" s="1">
        <f>A573+1</f>
        <v>2011311</v>
      </c>
      <c r="B574" s="1">
        <f>B573</f>
        <v>201013</v>
      </c>
      <c r="C574" s="1">
        <f>C573+1</f>
        <v>10</v>
      </c>
      <c r="D574" s="1">
        <f>D573+100</f>
        <v>1200</v>
      </c>
      <c r="E574" s="5" t="str">
        <f>IF(J574=0,J574,J574&amp;K574)</f>
        <v>气血上限+8218</v>
      </c>
      <c r="F574" s="1" t="str">
        <f>F573</f>
        <v>1+0;</v>
      </c>
      <c r="G574" s="1" t="str">
        <f>G573</f>
        <v>金钟护体罩</v>
      </c>
      <c r="J574" s="36" t="s">
        <v>310</v>
      </c>
      <c r="K574" s="5"/>
    </row>
    <row r="575" spans="1:11" x14ac:dyDescent="0.25">
      <c r="A575" s="13">
        <v>2011401</v>
      </c>
      <c r="B575" s="1">
        <v>201014</v>
      </c>
      <c r="C575" s="13">
        <v>1</v>
      </c>
      <c r="D575" s="13">
        <v>0</v>
      </c>
      <c r="E575" s="5">
        <v>0</v>
      </c>
      <c r="F575" s="1" t="s">
        <v>14</v>
      </c>
      <c r="G575" s="13" t="s">
        <v>103</v>
      </c>
      <c r="H575" s="13" t="s">
        <v>104</v>
      </c>
    </row>
    <row r="576" spans="1:11" x14ac:dyDescent="0.25">
      <c r="A576" s="13">
        <v>2011402</v>
      </c>
      <c r="B576" s="1">
        <v>201014</v>
      </c>
      <c r="C576" s="13">
        <v>1</v>
      </c>
      <c r="D576" s="13">
        <v>10</v>
      </c>
      <c r="E576" s="36" t="s">
        <v>295</v>
      </c>
      <c r="F576" s="1" t="s">
        <v>14</v>
      </c>
      <c r="G576" s="13" t="s">
        <v>103</v>
      </c>
      <c r="H576" s="13" t="s">
        <v>105</v>
      </c>
    </row>
    <row r="577" spans="1:11" x14ac:dyDescent="0.25">
      <c r="A577" s="13">
        <v>2011403</v>
      </c>
      <c r="B577" s="1">
        <v>201014</v>
      </c>
      <c r="C577" s="13">
        <v>2</v>
      </c>
      <c r="D577" s="13">
        <v>50</v>
      </c>
      <c r="E577" s="36" t="s">
        <v>296</v>
      </c>
      <c r="F577" s="1" t="s">
        <v>14</v>
      </c>
      <c r="G577" s="13" t="s">
        <v>103</v>
      </c>
      <c r="H577" s="13" t="s">
        <v>106</v>
      </c>
    </row>
    <row r="578" spans="1:11" x14ac:dyDescent="0.25">
      <c r="A578" s="13">
        <v>2011404</v>
      </c>
      <c r="B578" s="1">
        <v>201014</v>
      </c>
      <c r="C578" s="13">
        <v>3</v>
      </c>
      <c r="D578" s="13">
        <v>100</v>
      </c>
      <c r="E578" s="36" t="s">
        <v>297</v>
      </c>
      <c r="F578" s="1" t="s">
        <v>14</v>
      </c>
      <c r="G578" s="13" t="s">
        <v>103</v>
      </c>
      <c r="H578" s="13" t="s">
        <v>107</v>
      </c>
    </row>
    <row r="579" spans="1:11" x14ac:dyDescent="0.25">
      <c r="A579" s="13">
        <v>2011405</v>
      </c>
      <c r="B579" s="1">
        <v>201014</v>
      </c>
      <c r="C579" s="13">
        <v>4</v>
      </c>
      <c r="D579" s="13">
        <v>200</v>
      </c>
      <c r="E579" s="36" t="s">
        <v>298</v>
      </c>
      <c r="F579" s="1" t="s">
        <v>14</v>
      </c>
      <c r="G579" s="13" t="s">
        <v>103</v>
      </c>
      <c r="H579" s="13" t="s">
        <v>108</v>
      </c>
    </row>
    <row r="580" spans="1:11" x14ac:dyDescent="0.25">
      <c r="A580" s="13">
        <v>2011406</v>
      </c>
      <c r="B580" s="1">
        <v>201014</v>
      </c>
      <c r="C580" s="13">
        <v>5</v>
      </c>
      <c r="D580" s="13">
        <v>300</v>
      </c>
      <c r="E580" s="36" t="s">
        <v>299</v>
      </c>
      <c r="F580" s="1" t="s">
        <v>14</v>
      </c>
      <c r="G580" s="13" t="s">
        <v>103</v>
      </c>
      <c r="H580" s="13" t="s">
        <v>109</v>
      </c>
    </row>
    <row r="581" spans="1:11" x14ac:dyDescent="0.25">
      <c r="A581" s="13">
        <v>2011407</v>
      </c>
      <c r="B581" s="1">
        <v>201014</v>
      </c>
      <c r="C581" s="13">
        <v>6</v>
      </c>
      <c r="D581" s="13">
        <v>400</v>
      </c>
      <c r="E581" s="36" t="s">
        <v>300</v>
      </c>
      <c r="F581" s="1" t="s">
        <v>14</v>
      </c>
      <c r="G581" s="13" t="s">
        <v>103</v>
      </c>
      <c r="H581" s="13" t="s">
        <v>110</v>
      </c>
    </row>
    <row r="582" spans="1:11" x14ac:dyDescent="0.25">
      <c r="A582" s="13">
        <v>2011408</v>
      </c>
      <c r="B582" s="1">
        <v>201014</v>
      </c>
      <c r="C582" s="13">
        <v>7</v>
      </c>
      <c r="D582" s="13">
        <v>500</v>
      </c>
      <c r="E582" s="36" t="s">
        <v>301</v>
      </c>
      <c r="F582" s="1" t="s">
        <v>14</v>
      </c>
      <c r="G582" s="13" t="s">
        <v>103</v>
      </c>
      <c r="H582" s="13" t="s">
        <v>111</v>
      </c>
    </row>
    <row r="583" spans="1:11" x14ac:dyDescent="0.25">
      <c r="A583" s="13">
        <v>2011409</v>
      </c>
      <c r="B583" s="1">
        <v>201014</v>
      </c>
      <c r="C583" s="13">
        <v>8</v>
      </c>
      <c r="D583" s="13">
        <v>1000</v>
      </c>
      <c r="E583" s="36" t="s">
        <v>302</v>
      </c>
      <c r="F583" s="1" t="s">
        <v>14</v>
      </c>
      <c r="G583" s="13" t="s">
        <v>103</v>
      </c>
      <c r="H583" s="13" t="s">
        <v>111</v>
      </c>
    </row>
    <row r="584" spans="1:11" x14ac:dyDescent="0.25">
      <c r="A584" s="13">
        <v>2011410</v>
      </c>
      <c r="B584" s="1">
        <v>201014</v>
      </c>
      <c r="C584" s="13">
        <v>9</v>
      </c>
      <c r="D584" s="13">
        <v>1100</v>
      </c>
      <c r="E584" s="36" t="s">
        <v>303</v>
      </c>
      <c r="F584" s="1" t="s">
        <v>14</v>
      </c>
      <c r="G584" s="13" t="s">
        <v>103</v>
      </c>
      <c r="H584" s="13" t="s">
        <v>111</v>
      </c>
    </row>
    <row r="585" spans="1:11" x14ac:dyDescent="0.25">
      <c r="A585" s="1">
        <f>A584+1</f>
        <v>2011411</v>
      </c>
      <c r="B585" s="1">
        <f>B584</f>
        <v>201014</v>
      </c>
      <c r="C585" s="1">
        <f>C584+1</f>
        <v>10</v>
      </c>
      <c r="D585" s="1">
        <f>D584+100</f>
        <v>1200</v>
      </c>
      <c r="E585" s="5" t="str">
        <f>IF(J585=0,J585,J585&amp;K585)</f>
        <v>气血上限+8218</v>
      </c>
      <c r="F585" s="1" t="str">
        <f>F584</f>
        <v>1+0;</v>
      </c>
      <c r="G585" s="1" t="str">
        <f>G584</f>
        <v>太虚无极劲</v>
      </c>
      <c r="J585" s="36" t="s">
        <v>310</v>
      </c>
      <c r="K585" s="5"/>
    </row>
    <row r="586" spans="1:11" x14ac:dyDescent="0.25">
      <c r="A586" s="14">
        <v>2011501</v>
      </c>
      <c r="B586" s="1">
        <v>201015</v>
      </c>
      <c r="C586" s="14">
        <v>1</v>
      </c>
      <c r="D586" s="14">
        <v>0</v>
      </c>
      <c r="E586" s="5">
        <v>0</v>
      </c>
      <c r="F586" s="1" t="s">
        <v>14</v>
      </c>
      <c r="G586" s="14" t="s">
        <v>112</v>
      </c>
      <c r="H586" s="14" t="s">
        <v>113</v>
      </c>
    </row>
    <row r="587" spans="1:11" x14ac:dyDescent="0.25">
      <c r="A587" s="14">
        <v>2011502</v>
      </c>
      <c r="B587" s="1">
        <v>201015</v>
      </c>
      <c r="C587" s="14">
        <v>1</v>
      </c>
      <c r="D587" s="14">
        <v>10</v>
      </c>
      <c r="E587" s="36" t="s">
        <v>295</v>
      </c>
      <c r="F587" s="1" t="s">
        <v>14</v>
      </c>
      <c r="G587" s="14" t="s">
        <v>112</v>
      </c>
      <c r="H587" s="14" t="s">
        <v>114</v>
      </c>
    </row>
    <row r="588" spans="1:11" x14ac:dyDescent="0.25">
      <c r="A588" s="14">
        <v>2011503</v>
      </c>
      <c r="B588" s="1">
        <v>201015</v>
      </c>
      <c r="C588" s="14">
        <v>2</v>
      </c>
      <c r="D588" s="14">
        <v>50</v>
      </c>
      <c r="E588" s="36" t="s">
        <v>296</v>
      </c>
      <c r="F588" s="1" t="s">
        <v>14</v>
      </c>
      <c r="G588" s="14" t="s">
        <v>112</v>
      </c>
      <c r="H588" s="14" t="s">
        <v>115</v>
      </c>
    </row>
    <row r="589" spans="1:11" x14ac:dyDescent="0.25">
      <c r="A589" s="14">
        <v>2011504</v>
      </c>
      <c r="B589" s="1">
        <v>201015</v>
      </c>
      <c r="C589" s="14">
        <v>3</v>
      </c>
      <c r="D589" s="14">
        <v>100</v>
      </c>
      <c r="E589" s="36" t="s">
        <v>297</v>
      </c>
      <c r="F589" s="1" t="s">
        <v>14</v>
      </c>
      <c r="G589" s="14" t="s">
        <v>112</v>
      </c>
      <c r="H589" s="14" t="s">
        <v>116</v>
      </c>
    </row>
    <row r="590" spans="1:11" x14ac:dyDescent="0.25">
      <c r="A590" s="14">
        <v>2011505</v>
      </c>
      <c r="B590" s="1">
        <v>201015</v>
      </c>
      <c r="C590" s="14">
        <v>4</v>
      </c>
      <c r="D590" s="14">
        <v>200</v>
      </c>
      <c r="E590" s="36" t="s">
        <v>298</v>
      </c>
      <c r="F590" s="1" t="s">
        <v>14</v>
      </c>
      <c r="G590" s="14" t="s">
        <v>112</v>
      </c>
      <c r="H590" s="14" t="s">
        <v>117</v>
      </c>
    </row>
    <row r="591" spans="1:11" x14ac:dyDescent="0.25">
      <c r="A591" s="14">
        <v>2011506</v>
      </c>
      <c r="B591" s="1">
        <v>201015</v>
      </c>
      <c r="C591" s="14">
        <v>5</v>
      </c>
      <c r="D591" s="14">
        <v>300</v>
      </c>
      <c r="E591" s="36" t="s">
        <v>299</v>
      </c>
      <c r="F591" s="1" t="s">
        <v>14</v>
      </c>
      <c r="G591" s="14" t="s">
        <v>112</v>
      </c>
      <c r="H591" s="14" t="s">
        <v>118</v>
      </c>
    </row>
    <row r="592" spans="1:11" x14ac:dyDescent="0.25">
      <c r="A592" s="14">
        <v>2011507</v>
      </c>
      <c r="B592" s="1">
        <v>201015</v>
      </c>
      <c r="C592" s="14">
        <v>6</v>
      </c>
      <c r="D592" s="14">
        <v>400</v>
      </c>
      <c r="E592" s="36" t="s">
        <v>300</v>
      </c>
      <c r="F592" s="1" t="s">
        <v>14</v>
      </c>
      <c r="G592" s="14" t="s">
        <v>112</v>
      </c>
      <c r="H592" s="14" t="s">
        <v>119</v>
      </c>
    </row>
    <row r="593" spans="1:11" x14ac:dyDescent="0.25">
      <c r="A593" s="14">
        <v>2011508</v>
      </c>
      <c r="B593" s="1">
        <v>201015</v>
      </c>
      <c r="C593" s="14">
        <v>7</v>
      </c>
      <c r="D593" s="14">
        <v>500</v>
      </c>
      <c r="E593" s="36" t="s">
        <v>301</v>
      </c>
      <c r="F593" s="1" t="s">
        <v>14</v>
      </c>
      <c r="G593" s="14" t="s">
        <v>112</v>
      </c>
      <c r="H593" s="14" t="s">
        <v>120</v>
      </c>
    </row>
    <row r="594" spans="1:11" x14ac:dyDescent="0.25">
      <c r="A594" s="14">
        <v>2011509</v>
      </c>
      <c r="B594" s="1">
        <v>201015</v>
      </c>
      <c r="C594" s="14">
        <v>8</v>
      </c>
      <c r="D594" s="14">
        <v>1000</v>
      </c>
      <c r="E594" s="36" t="s">
        <v>302</v>
      </c>
      <c r="F594" s="1" t="s">
        <v>14</v>
      </c>
      <c r="G594" s="14" t="s">
        <v>112</v>
      </c>
      <c r="H594" s="14" t="s">
        <v>120</v>
      </c>
    </row>
    <row r="595" spans="1:11" x14ac:dyDescent="0.25">
      <c r="A595" s="14">
        <v>2011510</v>
      </c>
      <c r="B595" s="1">
        <v>201015</v>
      </c>
      <c r="C595" s="14">
        <v>9</v>
      </c>
      <c r="D595" s="14">
        <v>1100</v>
      </c>
      <c r="E595" s="36" t="s">
        <v>303</v>
      </c>
      <c r="F595" s="1" t="s">
        <v>14</v>
      </c>
      <c r="G595" s="14" t="s">
        <v>112</v>
      </c>
      <c r="H595" s="14" t="s">
        <v>120</v>
      </c>
    </row>
    <row r="596" spans="1:11" x14ac:dyDescent="0.25">
      <c r="A596" s="1">
        <f>A595+1</f>
        <v>2011511</v>
      </c>
      <c r="B596" s="1">
        <f>B595</f>
        <v>201015</v>
      </c>
      <c r="C596" s="1">
        <f>C595+1</f>
        <v>10</v>
      </c>
      <c r="D596" s="1">
        <f>D595+100</f>
        <v>1200</v>
      </c>
      <c r="E596" s="5" t="str">
        <f>IF(J596=0,J596,J596&amp;K596)</f>
        <v>气血上限+8218</v>
      </c>
      <c r="F596" s="1" t="str">
        <f>F595</f>
        <v>1+0;</v>
      </c>
      <c r="G596" s="1" t="str">
        <f>G595</f>
        <v>霸王卸甲</v>
      </c>
      <c r="J596" s="36" t="s">
        <v>310</v>
      </c>
      <c r="K596" s="5"/>
    </row>
    <row r="597" spans="1:11" x14ac:dyDescent="0.25">
      <c r="A597" s="11">
        <v>2011601</v>
      </c>
      <c r="B597" s="1">
        <v>201016</v>
      </c>
      <c r="C597" s="11">
        <v>1</v>
      </c>
      <c r="D597" s="11">
        <v>0</v>
      </c>
      <c r="E597" s="5">
        <v>0</v>
      </c>
      <c r="F597" s="1" t="s">
        <v>14</v>
      </c>
      <c r="G597" s="11" t="s">
        <v>121</v>
      </c>
      <c r="H597" s="11" t="s">
        <v>122</v>
      </c>
    </row>
    <row r="598" spans="1:11" x14ac:dyDescent="0.25">
      <c r="A598" s="11">
        <v>2011602</v>
      </c>
      <c r="B598" s="1">
        <v>201016</v>
      </c>
      <c r="C598" s="11">
        <v>1</v>
      </c>
      <c r="D598" s="11">
        <v>10</v>
      </c>
      <c r="E598" s="36" t="s">
        <v>295</v>
      </c>
      <c r="F598" s="1" t="s">
        <v>14</v>
      </c>
      <c r="G598" s="11" t="s">
        <v>121</v>
      </c>
      <c r="H598" s="11" t="s">
        <v>123</v>
      </c>
    </row>
    <row r="599" spans="1:11" x14ac:dyDescent="0.25">
      <c r="A599" s="11">
        <v>2011603</v>
      </c>
      <c r="B599" s="1">
        <v>201016</v>
      </c>
      <c r="C599" s="11">
        <v>2</v>
      </c>
      <c r="D599" s="11">
        <v>50</v>
      </c>
      <c r="E599" s="36" t="s">
        <v>296</v>
      </c>
      <c r="F599" s="1" t="s">
        <v>14</v>
      </c>
      <c r="G599" s="11" t="s">
        <v>121</v>
      </c>
      <c r="H599" s="11" t="s">
        <v>124</v>
      </c>
    </row>
    <row r="600" spans="1:11" x14ac:dyDescent="0.25">
      <c r="A600" s="11">
        <v>2011604</v>
      </c>
      <c r="B600" s="1">
        <v>201016</v>
      </c>
      <c r="C600" s="11">
        <v>3</v>
      </c>
      <c r="D600" s="11">
        <v>100</v>
      </c>
      <c r="E600" s="36" t="s">
        <v>297</v>
      </c>
      <c r="F600" s="1" t="s">
        <v>14</v>
      </c>
      <c r="G600" s="11" t="s">
        <v>121</v>
      </c>
      <c r="H600" s="11" t="s">
        <v>125</v>
      </c>
    </row>
    <row r="601" spans="1:11" x14ac:dyDescent="0.25">
      <c r="A601" s="11">
        <v>2011605</v>
      </c>
      <c r="B601" s="1">
        <v>201016</v>
      </c>
      <c r="C601" s="11">
        <v>4</v>
      </c>
      <c r="D601" s="11">
        <v>200</v>
      </c>
      <c r="E601" s="36" t="s">
        <v>298</v>
      </c>
      <c r="F601" s="1" t="s">
        <v>14</v>
      </c>
      <c r="G601" s="11" t="s">
        <v>121</v>
      </c>
      <c r="H601" s="11" t="s">
        <v>126</v>
      </c>
    </row>
    <row r="602" spans="1:11" x14ac:dyDescent="0.25">
      <c r="A602" s="11">
        <v>2011606</v>
      </c>
      <c r="B602" s="1">
        <v>201016</v>
      </c>
      <c r="C602" s="11">
        <v>5</v>
      </c>
      <c r="D602" s="11">
        <v>300</v>
      </c>
      <c r="E602" s="36" t="s">
        <v>299</v>
      </c>
      <c r="F602" s="1" t="s">
        <v>14</v>
      </c>
      <c r="G602" s="11" t="s">
        <v>121</v>
      </c>
      <c r="H602" s="11" t="s">
        <v>127</v>
      </c>
    </row>
    <row r="603" spans="1:11" x14ac:dyDescent="0.25">
      <c r="A603" s="11">
        <v>2011607</v>
      </c>
      <c r="B603" s="1">
        <v>201016</v>
      </c>
      <c r="C603" s="11">
        <v>6</v>
      </c>
      <c r="D603" s="11">
        <v>400</v>
      </c>
      <c r="E603" s="36" t="s">
        <v>300</v>
      </c>
      <c r="F603" s="1" t="s">
        <v>14</v>
      </c>
      <c r="G603" s="11" t="s">
        <v>121</v>
      </c>
      <c r="H603" s="11" t="s">
        <v>128</v>
      </c>
    </row>
    <row r="604" spans="1:11" x14ac:dyDescent="0.25">
      <c r="A604" s="11">
        <v>2011608</v>
      </c>
      <c r="B604" s="1">
        <v>201016</v>
      </c>
      <c r="C604" s="11">
        <v>7</v>
      </c>
      <c r="D604" s="11">
        <v>500</v>
      </c>
      <c r="E604" s="36" t="s">
        <v>301</v>
      </c>
      <c r="F604" s="1" t="s">
        <v>14</v>
      </c>
      <c r="G604" s="11" t="s">
        <v>121</v>
      </c>
      <c r="H604" s="11" t="s">
        <v>129</v>
      </c>
    </row>
    <row r="605" spans="1:11" x14ac:dyDescent="0.25">
      <c r="A605" s="11">
        <v>2011609</v>
      </c>
      <c r="B605" s="1">
        <v>201016</v>
      </c>
      <c r="C605" s="11">
        <v>8</v>
      </c>
      <c r="D605" s="11">
        <v>1000</v>
      </c>
      <c r="E605" s="36" t="s">
        <v>302</v>
      </c>
      <c r="F605" s="1" t="s">
        <v>14</v>
      </c>
      <c r="G605" s="11" t="s">
        <v>121</v>
      </c>
      <c r="H605" s="11" t="s">
        <v>129</v>
      </c>
    </row>
    <row r="606" spans="1:11" x14ac:dyDescent="0.25">
      <c r="A606" s="11">
        <v>2011610</v>
      </c>
      <c r="B606" s="1">
        <v>201016</v>
      </c>
      <c r="C606" s="11">
        <v>9</v>
      </c>
      <c r="D606" s="11">
        <v>1100</v>
      </c>
      <c r="E606" s="36" t="s">
        <v>303</v>
      </c>
      <c r="F606" s="1" t="s">
        <v>14</v>
      </c>
      <c r="G606" s="11" t="s">
        <v>121</v>
      </c>
      <c r="H606" s="11" t="s">
        <v>129</v>
      </c>
    </row>
    <row r="607" spans="1:11" x14ac:dyDescent="0.25">
      <c r="A607" s="1">
        <f>A606+1</f>
        <v>2011611</v>
      </c>
      <c r="B607" s="1">
        <f>B606</f>
        <v>201016</v>
      </c>
      <c r="C607" s="1">
        <f>C606+1</f>
        <v>10</v>
      </c>
      <c r="D607" s="1">
        <f>D606+100</f>
        <v>1200</v>
      </c>
      <c r="E607" s="5" t="str">
        <f>IF(J607=0,J607,J607&amp;K607)</f>
        <v>气血上限+8218</v>
      </c>
      <c r="F607" s="1" t="str">
        <f>F606</f>
        <v>1+0;</v>
      </c>
      <c r="G607" s="1" t="str">
        <f>G606</f>
        <v>青囊宝钞</v>
      </c>
      <c r="J607" s="36" t="s">
        <v>310</v>
      </c>
      <c r="K607" s="5"/>
    </row>
    <row r="608" spans="1:11" ht="14.5" x14ac:dyDescent="0.3">
      <c r="A608" s="15">
        <v>2011701</v>
      </c>
      <c r="B608" s="1">
        <v>201017</v>
      </c>
      <c r="C608" s="15">
        <v>1</v>
      </c>
      <c r="D608" s="15">
        <v>0</v>
      </c>
      <c r="E608" s="5">
        <v>0</v>
      </c>
      <c r="F608" s="1" t="s">
        <v>14</v>
      </c>
      <c r="G608" s="15" t="s">
        <v>130</v>
      </c>
      <c r="H608" s="15" t="s">
        <v>131</v>
      </c>
    </row>
    <row r="609" spans="1:11" ht="14.5" x14ac:dyDescent="0.3">
      <c r="A609" s="15">
        <v>2011702</v>
      </c>
      <c r="B609" s="1">
        <v>201017</v>
      </c>
      <c r="C609" s="15">
        <v>1</v>
      </c>
      <c r="D609" s="15">
        <v>10</v>
      </c>
      <c r="E609" s="36" t="s">
        <v>295</v>
      </c>
      <c r="F609" s="1" t="s">
        <v>14</v>
      </c>
      <c r="G609" s="15" t="s">
        <v>130</v>
      </c>
      <c r="H609" s="15" t="s">
        <v>132</v>
      </c>
    </row>
    <row r="610" spans="1:11" ht="14.5" x14ac:dyDescent="0.3">
      <c r="A610" s="15">
        <v>2011703</v>
      </c>
      <c r="B610" s="1">
        <v>201017</v>
      </c>
      <c r="C610" s="15">
        <v>2</v>
      </c>
      <c r="D610" s="15">
        <v>50</v>
      </c>
      <c r="E610" s="36" t="s">
        <v>296</v>
      </c>
      <c r="F610" s="1" t="s">
        <v>14</v>
      </c>
      <c r="G610" s="15" t="s">
        <v>130</v>
      </c>
      <c r="H610" s="15" t="s">
        <v>133</v>
      </c>
    </row>
    <row r="611" spans="1:11" ht="14.5" x14ac:dyDescent="0.3">
      <c r="A611" s="15">
        <v>2011704</v>
      </c>
      <c r="B611" s="1">
        <v>201017</v>
      </c>
      <c r="C611" s="15">
        <v>3</v>
      </c>
      <c r="D611" s="15">
        <v>100</v>
      </c>
      <c r="E611" s="36" t="s">
        <v>297</v>
      </c>
      <c r="F611" s="1" t="s">
        <v>14</v>
      </c>
      <c r="G611" s="15" t="s">
        <v>130</v>
      </c>
      <c r="H611" s="15" t="s">
        <v>134</v>
      </c>
    </row>
    <row r="612" spans="1:11" ht="14.5" x14ac:dyDescent="0.3">
      <c r="A612" s="15">
        <v>2011705</v>
      </c>
      <c r="B612" s="1">
        <v>201017</v>
      </c>
      <c r="C612" s="15">
        <v>4</v>
      </c>
      <c r="D612" s="15">
        <v>200</v>
      </c>
      <c r="E612" s="36" t="s">
        <v>298</v>
      </c>
      <c r="F612" s="1" t="s">
        <v>14</v>
      </c>
      <c r="G612" s="15" t="s">
        <v>130</v>
      </c>
      <c r="H612" s="15" t="s">
        <v>135</v>
      </c>
    </row>
    <row r="613" spans="1:11" ht="14.5" x14ac:dyDescent="0.3">
      <c r="A613" s="15">
        <v>2011706</v>
      </c>
      <c r="B613" s="1">
        <v>201017</v>
      </c>
      <c r="C613" s="15">
        <v>5</v>
      </c>
      <c r="D613" s="15">
        <v>300</v>
      </c>
      <c r="E613" s="36" t="s">
        <v>299</v>
      </c>
      <c r="F613" s="1" t="s">
        <v>14</v>
      </c>
      <c r="G613" s="15" t="s">
        <v>130</v>
      </c>
      <c r="H613" s="15" t="s">
        <v>136</v>
      </c>
    </row>
    <row r="614" spans="1:11" ht="14.5" x14ac:dyDescent="0.3">
      <c r="A614" s="15">
        <v>2011707</v>
      </c>
      <c r="B614" s="1">
        <v>201017</v>
      </c>
      <c r="C614" s="15">
        <v>6</v>
      </c>
      <c r="D614" s="15">
        <v>400</v>
      </c>
      <c r="E614" s="36" t="s">
        <v>300</v>
      </c>
      <c r="F614" s="1" t="s">
        <v>14</v>
      </c>
      <c r="G614" s="15" t="s">
        <v>130</v>
      </c>
      <c r="H614" s="15" t="s">
        <v>137</v>
      </c>
    </row>
    <row r="615" spans="1:11" ht="14.5" x14ac:dyDescent="0.3">
      <c r="A615" s="15">
        <v>2011708</v>
      </c>
      <c r="B615" s="1">
        <v>201017</v>
      </c>
      <c r="C615" s="15">
        <v>7</v>
      </c>
      <c r="D615" s="15">
        <v>500</v>
      </c>
      <c r="E615" s="36" t="s">
        <v>301</v>
      </c>
      <c r="F615" s="1" t="s">
        <v>14</v>
      </c>
      <c r="G615" s="15" t="s">
        <v>130</v>
      </c>
      <c r="H615" s="15" t="s">
        <v>138</v>
      </c>
    </row>
    <row r="616" spans="1:11" ht="14.5" x14ac:dyDescent="0.3">
      <c r="A616" s="15">
        <v>2011709</v>
      </c>
      <c r="B616" s="1">
        <v>201017</v>
      </c>
      <c r="C616" s="15">
        <v>8</v>
      </c>
      <c r="D616" s="15">
        <v>1000</v>
      </c>
      <c r="E616" s="36" t="s">
        <v>302</v>
      </c>
      <c r="F616" s="1" t="s">
        <v>14</v>
      </c>
      <c r="G616" s="15" t="s">
        <v>130</v>
      </c>
      <c r="H616" s="15" t="s">
        <v>138</v>
      </c>
    </row>
    <row r="617" spans="1:11" ht="14.5" x14ac:dyDescent="0.3">
      <c r="A617" s="15">
        <v>2011710</v>
      </c>
      <c r="B617" s="1">
        <v>201017</v>
      </c>
      <c r="C617" s="15">
        <v>9</v>
      </c>
      <c r="D617" s="15">
        <v>1100</v>
      </c>
      <c r="E617" s="36" t="s">
        <v>303</v>
      </c>
      <c r="F617" s="1" t="s">
        <v>14</v>
      </c>
      <c r="G617" s="15" t="s">
        <v>130</v>
      </c>
      <c r="H617" s="15" t="s">
        <v>138</v>
      </c>
    </row>
    <row r="618" spans="1:11" x14ac:dyDescent="0.25">
      <c r="A618" s="1">
        <f>A617+1</f>
        <v>2011711</v>
      </c>
      <c r="B618" s="1">
        <f>B617</f>
        <v>201017</v>
      </c>
      <c r="C618" s="1">
        <f>C617+1</f>
        <v>10</v>
      </c>
      <c r="D618" s="1">
        <f>D617+100</f>
        <v>1200</v>
      </c>
      <c r="E618" s="5" t="str">
        <f>IF(J618=0,J618,J618&amp;K618)</f>
        <v>气血上限+8218</v>
      </c>
      <c r="F618" s="1" t="str">
        <f>F617</f>
        <v>1+0;</v>
      </c>
      <c r="G618" s="1" t="str">
        <f>G617</f>
        <v>饮情蛊</v>
      </c>
      <c r="J618" s="36" t="s">
        <v>310</v>
      </c>
      <c r="K618" s="5"/>
    </row>
    <row r="619" spans="1:11" x14ac:dyDescent="0.25">
      <c r="A619" s="35">
        <v>2011801</v>
      </c>
      <c r="B619" s="1">
        <v>201018</v>
      </c>
      <c r="C619" s="11">
        <v>1</v>
      </c>
      <c r="D619" s="11">
        <v>0</v>
      </c>
      <c r="E619" s="5">
        <v>0</v>
      </c>
      <c r="F619" s="1" t="s">
        <v>14</v>
      </c>
      <c r="G619" s="35" t="s">
        <v>275</v>
      </c>
      <c r="H619" s="11" t="s">
        <v>276</v>
      </c>
    </row>
    <row r="620" spans="1:11" x14ac:dyDescent="0.25">
      <c r="A620" s="35">
        <v>2011802</v>
      </c>
      <c r="B620" s="1">
        <v>201018</v>
      </c>
      <c r="C620" s="11">
        <v>1</v>
      </c>
      <c r="D620" s="11">
        <v>10</v>
      </c>
      <c r="E620" s="36" t="s">
        <v>295</v>
      </c>
      <c r="F620" s="1" t="s">
        <v>14</v>
      </c>
      <c r="G620" s="35" t="s">
        <v>275</v>
      </c>
      <c r="H620" s="11" t="s">
        <v>277</v>
      </c>
    </row>
    <row r="621" spans="1:11" x14ac:dyDescent="0.25">
      <c r="A621" s="35">
        <v>2011803</v>
      </c>
      <c r="B621" s="1">
        <v>201018</v>
      </c>
      <c r="C621" s="11">
        <v>2</v>
      </c>
      <c r="D621" s="11">
        <v>50</v>
      </c>
      <c r="E621" s="36" t="s">
        <v>296</v>
      </c>
      <c r="F621" s="1" t="s">
        <v>14</v>
      </c>
      <c r="G621" s="35" t="s">
        <v>275</v>
      </c>
      <c r="H621" s="11" t="s">
        <v>278</v>
      </c>
    </row>
    <row r="622" spans="1:11" x14ac:dyDescent="0.25">
      <c r="A622" s="35">
        <v>2011804</v>
      </c>
      <c r="B622" s="1">
        <v>201018</v>
      </c>
      <c r="C622" s="11">
        <v>3</v>
      </c>
      <c r="D622" s="11">
        <v>100</v>
      </c>
      <c r="E622" s="36" t="s">
        <v>297</v>
      </c>
      <c r="F622" s="1" t="s">
        <v>14</v>
      </c>
      <c r="G622" s="35" t="s">
        <v>275</v>
      </c>
      <c r="H622" s="11" t="s">
        <v>279</v>
      </c>
    </row>
    <row r="623" spans="1:11" x14ac:dyDescent="0.25">
      <c r="A623" s="35">
        <v>2011805</v>
      </c>
      <c r="B623" s="1">
        <v>201018</v>
      </c>
      <c r="C623" s="11">
        <v>4</v>
      </c>
      <c r="D623" s="11">
        <v>200</v>
      </c>
      <c r="E623" s="36" t="s">
        <v>298</v>
      </c>
      <c r="F623" s="1" t="s">
        <v>14</v>
      </c>
      <c r="G623" s="35" t="s">
        <v>275</v>
      </c>
      <c r="H623" s="11" t="s">
        <v>280</v>
      </c>
    </row>
    <row r="624" spans="1:11" x14ac:dyDescent="0.25">
      <c r="A624" s="35">
        <v>2011806</v>
      </c>
      <c r="B624" s="1">
        <v>201018</v>
      </c>
      <c r="C624" s="11">
        <v>5</v>
      </c>
      <c r="D624" s="11">
        <v>300</v>
      </c>
      <c r="E624" s="36" t="s">
        <v>299</v>
      </c>
      <c r="F624" s="1" t="s">
        <v>14</v>
      </c>
      <c r="G624" s="35" t="s">
        <v>275</v>
      </c>
      <c r="H624" s="11" t="s">
        <v>281</v>
      </c>
    </row>
    <row r="625" spans="1:11" x14ac:dyDescent="0.25">
      <c r="A625" s="35">
        <v>2011807</v>
      </c>
      <c r="B625" s="1">
        <v>201018</v>
      </c>
      <c r="C625" s="11">
        <v>6</v>
      </c>
      <c r="D625" s="11">
        <v>400</v>
      </c>
      <c r="E625" s="36" t="s">
        <v>300</v>
      </c>
      <c r="F625" s="1" t="s">
        <v>14</v>
      </c>
      <c r="G625" s="35" t="s">
        <v>275</v>
      </c>
      <c r="H625" s="11" t="s">
        <v>282</v>
      </c>
    </row>
    <row r="626" spans="1:11" x14ac:dyDescent="0.25">
      <c r="A626" s="35">
        <v>2011808</v>
      </c>
      <c r="B626" s="1">
        <v>201018</v>
      </c>
      <c r="C626" s="11">
        <v>7</v>
      </c>
      <c r="D626" s="11">
        <v>500</v>
      </c>
      <c r="E626" s="36" t="s">
        <v>301</v>
      </c>
      <c r="F626" s="1" t="s">
        <v>14</v>
      </c>
      <c r="G626" s="35" t="s">
        <v>275</v>
      </c>
      <c r="H626" s="11" t="s">
        <v>283</v>
      </c>
    </row>
    <row r="627" spans="1:11" x14ac:dyDescent="0.25">
      <c r="A627" s="35">
        <v>2011809</v>
      </c>
      <c r="B627" s="1">
        <v>201018</v>
      </c>
      <c r="C627" s="11">
        <v>8</v>
      </c>
      <c r="D627" s="11">
        <v>1000</v>
      </c>
      <c r="E627" s="36" t="s">
        <v>302</v>
      </c>
      <c r="F627" s="1" t="s">
        <v>14</v>
      </c>
      <c r="G627" s="35" t="s">
        <v>275</v>
      </c>
      <c r="H627" s="11" t="s">
        <v>283</v>
      </c>
    </row>
    <row r="628" spans="1:11" x14ac:dyDescent="0.25">
      <c r="A628" s="35">
        <v>2011810</v>
      </c>
      <c r="B628" s="1">
        <v>201018</v>
      </c>
      <c r="C628" s="11">
        <v>9</v>
      </c>
      <c r="D628" s="11">
        <v>1100</v>
      </c>
      <c r="E628" s="36" t="s">
        <v>303</v>
      </c>
      <c r="F628" s="1" t="s">
        <v>14</v>
      </c>
      <c r="G628" s="35" t="s">
        <v>275</v>
      </c>
      <c r="H628" s="11" t="s">
        <v>283</v>
      </c>
    </row>
    <row r="629" spans="1:11" x14ac:dyDescent="0.25">
      <c r="A629" s="1">
        <f>A628+1</f>
        <v>2011811</v>
      </c>
      <c r="B629" s="1">
        <f>B628</f>
        <v>201018</v>
      </c>
      <c r="C629" s="1">
        <f>C628+1</f>
        <v>10</v>
      </c>
      <c r="D629" s="1">
        <f>D628+100</f>
        <v>1200</v>
      </c>
      <c r="E629" s="5" t="str">
        <f>IF(J629=0,J629,J629&amp;K629)</f>
        <v>气血上限+8218</v>
      </c>
      <c r="F629" s="1" t="str">
        <f>F628</f>
        <v>1+0;</v>
      </c>
      <c r="G629" s="1" t="str">
        <f>G628</f>
        <v>支山祁</v>
      </c>
      <c r="J629" s="36" t="s">
        <v>310</v>
      </c>
      <c r="K629" s="5"/>
    </row>
    <row r="630" spans="1:11" x14ac:dyDescent="0.25">
      <c r="A630" s="35">
        <v>2011901</v>
      </c>
      <c r="B630" s="1">
        <v>201019</v>
      </c>
      <c r="C630" s="11">
        <v>1</v>
      </c>
      <c r="D630" s="11">
        <v>0</v>
      </c>
      <c r="E630" s="5">
        <v>0</v>
      </c>
      <c r="F630" s="1" t="s">
        <v>14</v>
      </c>
      <c r="G630" s="35" t="s">
        <v>306</v>
      </c>
      <c r="H630" s="11" t="s">
        <v>276</v>
      </c>
    </row>
    <row r="631" spans="1:11" x14ac:dyDescent="0.25">
      <c r="A631" s="35">
        <v>2011902</v>
      </c>
      <c r="B631" s="1">
        <v>201019</v>
      </c>
      <c r="C631" s="11">
        <v>1</v>
      </c>
      <c r="D631" s="11">
        <v>10</v>
      </c>
      <c r="E631" s="36" t="s">
        <v>295</v>
      </c>
      <c r="F631" s="1" t="s">
        <v>14</v>
      </c>
      <c r="G631" s="35" t="s">
        <v>306</v>
      </c>
      <c r="H631" s="11" t="s">
        <v>277</v>
      </c>
    </row>
    <row r="632" spans="1:11" x14ac:dyDescent="0.25">
      <c r="A632" s="35">
        <v>2011903</v>
      </c>
      <c r="B632" s="1">
        <v>201019</v>
      </c>
      <c r="C632" s="11">
        <v>2</v>
      </c>
      <c r="D632" s="11">
        <v>50</v>
      </c>
      <c r="E632" s="36" t="s">
        <v>296</v>
      </c>
      <c r="F632" s="1" t="s">
        <v>14</v>
      </c>
      <c r="G632" s="35" t="s">
        <v>306</v>
      </c>
      <c r="H632" s="11" t="s">
        <v>278</v>
      </c>
    </row>
    <row r="633" spans="1:11" x14ac:dyDescent="0.25">
      <c r="A633" s="35">
        <v>2011904</v>
      </c>
      <c r="B633" s="1">
        <v>201019</v>
      </c>
      <c r="C633" s="11">
        <v>3</v>
      </c>
      <c r="D633" s="11">
        <v>100</v>
      </c>
      <c r="E633" s="36" t="s">
        <v>297</v>
      </c>
      <c r="F633" s="1" t="s">
        <v>14</v>
      </c>
      <c r="G633" s="35" t="s">
        <v>306</v>
      </c>
      <c r="H633" s="11" t="s">
        <v>279</v>
      </c>
    </row>
    <row r="634" spans="1:11" x14ac:dyDescent="0.25">
      <c r="A634" s="35">
        <v>2011905</v>
      </c>
      <c r="B634" s="1">
        <v>201019</v>
      </c>
      <c r="C634" s="11">
        <v>4</v>
      </c>
      <c r="D634" s="11">
        <v>200</v>
      </c>
      <c r="E634" s="36" t="s">
        <v>298</v>
      </c>
      <c r="F634" s="1" t="s">
        <v>14</v>
      </c>
      <c r="G634" s="35" t="s">
        <v>306</v>
      </c>
      <c r="H634" s="11" t="s">
        <v>280</v>
      </c>
    </row>
    <row r="635" spans="1:11" x14ac:dyDescent="0.25">
      <c r="A635" s="35">
        <v>2011906</v>
      </c>
      <c r="B635" s="1">
        <v>201019</v>
      </c>
      <c r="C635" s="11">
        <v>5</v>
      </c>
      <c r="D635" s="11">
        <v>300</v>
      </c>
      <c r="E635" s="36" t="s">
        <v>299</v>
      </c>
      <c r="F635" s="1" t="s">
        <v>14</v>
      </c>
      <c r="G635" s="35" t="s">
        <v>306</v>
      </c>
      <c r="H635" s="11" t="s">
        <v>281</v>
      </c>
    </row>
    <row r="636" spans="1:11" x14ac:dyDescent="0.25">
      <c r="A636" s="35">
        <v>2011907</v>
      </c>
      <c r="B636" s="1">
        <v>201019</v>
      </c>
      <c r="C636" s="11">
        <v>6</v>
      </c>
      <c r="D636" s="11">
        <v>400</v>
      </c>
      <c r="E636" s="36" t="s">
        <v>300</v>
      </c>
      <c r="F636" s="1" t="s">
        <v>14</v>
      </c>
      <c r="G636" s="35" t="s">
        <v>306</v>
      </c>
      <c r="H636" s="11" t="s">
        <v>282</v>
      </c>
    </row>
    <row r="637" spans="1:11" x14ac:dyDescent="0.25">
      <c r="A637" s="35">
        <v>2011908</v>
      </c>
      <c r="B637" s="1">
        <v>201019</v>
      </c>
      <c r="C637" s="11">
        <v>7</v>
      </c>
      <c r="D637" s="11">
        <v>500</v>
      </c>
      <c r="E637" s="36" t="s">
        <v>301</v>
      </c>
      <c r="F637" s="1" t="s">
        <v>14</v>
      </c>
      <c r="G637" s="35" t="s">
        <v>306</v>
      </c>
      <c r="H637" s="11" t="s">
        <v>283</v>
      </c>
    </row>
    <row r="638" spans="1:11" x14ac:dyDescent="0.25">
      <c r="A638" s="35">
        <v>2011909</v>
      </c>
      <c r="B638" s="1">
        <v>201019</v>
      </c>
      <c r="C638" s="11">
        <v>8</v>
      </c>
      <c r="D638" s="11">
        <v>1000</v>
      </c>
      <c r="E638" s="36" t="s">
        <v>302</v>
      </c>
      <c r="F638" s="1" t="s">
        <v>14</v>
      </c>
      <c r="G638" s="35" t="s">
        <v>306</v>
      </c>
      <c r="H638" s="11" t="s">
        <v>283</v>
      </c>
    </row>
    <row r="639" spans="1:11" x14ac:dyDescent="0.25">
      <c r="A639" s="35">
        <v>2011910</v>
      </c>
      <c r="B639" s="1">
        <v>201019</v>
      </c>
      <c r="C639" s="11">
        <v>9</v>
      </c>
      <c r="D639" s="11">
        <v>1100</v>
      </c>
      <c r="E639" s="36" t="s">
        <v>303</v>
      </c>
      <c r="F639" s="1" t="s">
        <v>14</v>
      </c>
      <c r="G639" s="35" t="s">
        <v>306</v>
      </c>
      <c r="H639" s="11" t="s">
        <v>283</v>
      </c>
    </row>
    <row r="640" spans="1:11" x14ac:dyDescent="0.25">
      <c r="A640" s="1">
        <f>A639+1</f>
        <v>2011911</v>
      </c>
      <c r="B640" s="1">
        <f>B639</f>
        <v>201019</v>
      </c>
      <c r="C640" s="1">
        <f>C639+1</f>
        <v>10</v>
      </c>
      <c r="D640" s="1">
        <f>D639+100</f>
        <v>1200</v>
      </c>
      <c r="E640" s="5" t="str">
        <f>IF(J640=0,J640,J640&amp;K640)</f>
        <v>气血上限+8218</v>
      </c>
      <c r="F640" s="1" t="str">
        <f>F639</f>
        <v>1+0;</v>
      </c>
      <c r="G640" s="1" t="str">
        <f>G639</f>
        <v>七煞铁衣功</v>
      </c>
      <c r="J640" s="36" t="s">
        <v>310</v>
      </c>
      <c r="K640" s="5"/>
    </row>
    <row r="641" spans="1:11" x14ac:dyDescent="0.25">
      <c r="A641" s="35">
        <v>2012001</v>
      </c>
      <c r="B641" s="1">
        <v>201020</v>
      </c>
      <c r="C641" s="11">
        <v>1</v>
      </c>
      <c r="D641" s="11">
        <v>0</v>
      </c>
      <c r="E641" s="5">
        <v>0</v>
      </c>
      <c r="F641" s="1" t="s">
        <v>14</v>
      </c>
      <c r="G641" s="35" t="s">
        <v>324</v>
      </c>
      <c r="H641" s="11" t="s">
        <v>325</v>
      </c>
    </row>
    <row r="642" spans="1:11" x14ac:dyDescent="0.25">
      <c r="A642" s="35">
        <v>2012002</v>
      </c>
      <c r="B642" s="1">
        <v>201020</v>
      </c>
      <c r="C642" s="11">
        <v>1</v>
      </c>
      <c r="D642" s="11">
        <v>10</v>
      </c>
      <c r="E642" s="36" t="s">
        <v>295</v>
      </c>
      <c r="F642" s="1" t="s">
        <v>14</v>
      </c>
      <c r="G642" s="35" t="s">
        <v>324</v>
      </c>
      <c r="H642" s="11" t="s">
        <v>326</v>
      </c>
    </row>
    <row r="643" spans="1:11" x14ac:dyDescent="0.25">
      <c r="A643" s="35">
        <v>2012003</v>
      </c>
      <c r="B643" s="1">
        <v>201020</v>
      </c>
      <c r="C643" s="11">
        <v>2</v>
      </c>
      <c r="D643" s="11">
        <v>50</v>
      </c>
      <c r="E643" s="36" t="s">
        <v>296</v>
      </c>
      <c r="F643" s="1" t="s">
        <v>14</v>
      </c>
      <c r="G643" s="35" t="s">
        <v>324</v>
      </c>
      <c r="H643" s="11" t="s">
        <v>327</v>
      </c>
    </row>
    <row r="644" spans="1:11" x14ac:dyDescent="0.25">
      <c r="A644" s="35">
        <v>2012004</v>
      </c>
      <c r="B644" s="1">
        <v>201020</v>
      </c>
      <c r="C644" s="11">
        <v>3</v>
      </c>
      <c r="D644" s="11">
        <v>100</v>
      </c>
      <c r="E644" s="36" t="s">
        <v>297</v>
      </c>
      <c r="F644" s="1" t="s">
        <v>14</v>
      </c>
      <c r="G644" s="35" t="s">
        <v>324</v>
      </c>
      <c r="H644" s="11" t="s">
        <v>328</v>
      </c>
    </row>
    <row r="645" spans="1:11" x14ac:dyDescent="0.25">
      <c r="A645" s="35">
        <v>2012005</v>
      </c>
      <c r="B645" s="1">
        <v>201020</v>
      </c>
      <c r="C645" s="11">
        <v>4</v>
      </c>
      <c r="D645" s="11">
        <v>200</v>
      </c>
      <c r="E645" s="36" t="s">
        <v>298</v>
      </c>
      <c r="F645" s="1" t="s">
        <v>14</v>
      </c>
      <c r="G645" s="35" t="s">
        <v>324</v>
      </c>
      <c r="H645" s="11" t="s">
        <v>329</v>
      </c>
    </row>
    <row r="646" spans="1:11" x14ac:dyDescent="0.25">
      <c r="A646" s="35">
        <v>2012006</v>
      </c>
      <c r="B646" s="1">
        <v>201020</v>
      </c>
      <c r="C646" s="11">
        <v>5</v>
      </c>
      <c r="D646" s="11">
        <v>300</v>
      </c>
      <c r="E646" s="36" t="s">
        <v>299</v>
      </c>
      <c r="F646" s="1" t="s">
        <v>14</v>
      </c>
      <c r="G646" s="35" t="s">
        <v>324</v>
      </c>
      <c r="H646" s="11" t="s">
        <v>330</v>
      </c>
    </row>
    <row r="647" spans="1:11" x14ac:dyDescent="0.25">
      <c r="A647" s="35">
        <v>2012007</v>
      </c>
      <c r="B647" s="1">
        <v>201020</v>
      </c>
      <c r="C647" s="11">
        <v>6</v>
      </c>
      <c r="D647" s="11">
        <v>400</v>
      </c>
      <c r="E647" s="36" t="s">
        <v>300</v>
      </c>
      <c r="F647" s="1" t="s">
        <v>14</v>
      </c>
      <c r="G647" s="35" t="s">
        <v>324</v>
      </c>
      <c r="H647" s="11" t="s">
        <v>331</v>
      </c>
    </row>
    <row r="648" spans="1:11" x14ac:dyDescent="0.25">
      <c r="A648" s="35">
        <v>2012008</v>
      </c>
      <c r="B648" s="1">
        <v>201020</v>
      </c>
      <c r="C648" s="11">
        <v>7</v>
      </c>
      <c r="D648" s="11">
        <v>500</v>
      </c>
      <c r="E648" s="36" t="s">
        <v>301</v>
      </c>
      <c r="F648" s="1" t="s">
        <v>14</v>
      </c>
      <c r="G648" s="35" t="s">
        <v>324</v>
      </c>
      <c r="H648" s="11" t="s">
        <v>332</v>
      </c>
    </row>
    <row r="649" spans="1:11" x14ac:dyDescent="0.25">
      <c r="A649" s="35">
        <v>2012009</v>
      </c>
      <c r="B649" s="1">
        <v>201020</v>
      </c>
      <c r="C649" s="11">
        <v>8</v>
      </c>
      <c r="D649" s="11">
        <v>1000</v>
      </c>
      <c r="E649" s="36" t="s">
        <v>302</v>
      </c>
      <c r="F649" s="1" t="s">
        <v>14</v>
      </c>
      <c r="G649" s="35" t="s">
        <v>324</v>
      </c>
      <c r="H649" s="11" t="s">
        <v>333</v>
      </c>
    </row>
    <row r="650" spans="1:11" x14ac:dyDescent="0.25">
      <c r="A650" s="35">
        <v>2012010</v>
      </c>
      <c r="B650" s="1">
        <v>201020</v>
      </c>
      <c r="C650" s="11">
        <v>9</v>
      </c>
      <c r="D650" s="11">
        <v>1100</v>
      </c>
      <c r="E650" s="36" t="s">
        <v>303</v>
      </c>
      <c r="F650" s="1" t="s">
        <v>14</v>
      </c>
      <c r="G650" s="35" t="s">
        <v>324</v>
      </c>
      <c r="H650" s="11" t="s">
        <v>334</v>
      </c>
    </row>
    <row r="651" spans="1:11" x14ac:dyDescent="0.25">
      <c r="A651" s="1">
        <v>2012011</v>
      </c>
      <c r="B651" s="1">
        <v>201020</v>
      </c>
      <c r="C651" s="1">
        <f>C650+1</f>
        <v>10</v>
      </c>
      <c r="D651" s="1">
        <f>D650+100</f>
        <v>1200</v>
      </c>
      <c r="E651" s="5" t="str">
        <f>IF(J651=0,J651,J651&amp;K651)</f>
        <v>气血上限+8218</v>
      </c>
      <c r="F651" s="1" t="str">
        <f>F650</f>
        <v>1+0;</v>
      </c>
      <c r="G651" s="1" t="s">
        <v>324</v>
      </c>
      <c r="H651" s="1" t="s">
        <v>335</v>
      </c>
      <c r="J651" s="36" t="s">
        <v>310</v>
      </c>
      <c r="K651" s="5"/>
    </row>
    <row r="652" spans="1:11" x14ac:dyDescent="0.25">
      <c r="A652" s="1">
        <v>3010101</v>
      </c>
      <c r="B652" s="1">
        <v>301001</v>
      </c>
      <c r="C652" s="1">
        <v>1</v>
      </c>
      <c r="D652" s="1">
        <v>0</v>
      </c>
      <c r="E652" s="5">
        <v>0</v>
      </c>
      <c r="F652" s="1" t="s">
        <v>14</v>
      </c>
      <c r="G652" s="1" t="s">
        <v>139</v>
      </c>
    </row>
    <row r="653" spans="1:11" x14ac:dyDescent="0.25">
      <c r="A653" s="1">
        <v>3010102</v>
      </c>
      <c r="B653" s="1">
        <v>301001</v>
      </c>
      <c r="C653" s="1">
        <v>1</v>
      </c>
      <c r="D653" s="1">
        <v>10</v>
      </c>
      <c r="E653" s="5" t="s">
        <v>140</v>
      </c>
      <c r="F653" s="1" t="s">
        <v>14</v>
      </c>
      <c r="G653" s="1" t="s">
        <v>139</v>
      </c>
    </row>
    <row r="654" spans="1:11" x14ac:dyDescent="0.25">
      <c r="A654" s="1">
        <v>3010103</v>
      </c>
      <c r="B654" s="1">
        <v>301001</v>
      </c>
      <c r="C654" s="1">
        <v>2</v>
      </c>
      <c r="D654" s="1">
        <v>50</v>
      </c>
      <c r="E654" s="5" t="s">
        <v>140</v>
      </c>
      <c r="F654" s="1" t="s">
        <v>14</v>
      </c>
      <c r="G654" s="1" t="s">
        <v>139</v>
      </c>
    </row>
    <row r="655" spans="1:11" x14ac:dyDescent="0.25">
      <c r="A655" s="1">
        <v>3010104</v>
      </c>
      <c r="B655" s="1">
        <v>301001</v>
      </c>
      <c r="C655" s="1">
        <v>3</v>
      </c>
      <c r="D655" s="1">
        <v>100</v>
      </c>
      <c r="E655" s="5" t="s">
        <v>140</v>
      </c>
      <c r="F655" s="1" t="s">
        <v>14</v>
      </c>
      <c r="G655" s="1" t="s">
        <v>139</v>
      </c>
    </row>
    <row r="656" spans="1:11" x14ac:dyDescent="0.25">
      <c r="A656" s="1">
        <v>3010105</v>
      </c>
      <c r="B656" s="1">
        <v>301001</v>
      </c>
      <c r="C656" s="1">
        <v>4</v>
      </c>
      <c r="D656" s="1">
        <v>200</v>
      </c>
      <c r="E656" s="5" t="s">
        <v>140</v>
      </c>
      <c r="F656" s="1" t="s">
        <v>14</v>
      </c>
      <c r="G656" s="1" t="s">
        <v>139</v>
      </c>
    </row>
    <row r="657" spans="1:11" x14ac:dyDescent="0.25">
      <c r="A657" s="1">
        <v>3010106</v>
      </c>
      <c r="B657" s="1">
        <v>301001</v>
      </c>
      <c r="C657" s="1">
        <v>5</v>
      </c>
      <c r="D657" s="1">
        <v>300</v>
      </c>
      <c r="E657" s="5" t="s">
        <v>140</v>
      </c>
      <c r="F657" s="1" t="s">
        <v>14</v>
      </c>
      <c r="G657" s="1" t="s">
        <v>139</v>
      </c>
    </row>
    <row r="658" spans="1:11" x14ac:dyDescent="0.25">
      <c r="A658" s="1">
        <v>3010107</v>
      </c>
      <c r="B658" s="1">
        <v>301001</v>
      </c>
      <c r="C658" s="1">
        <v>6</v>
      </c>
      <c r="D658" s="1">
        <v>400</v>
      </c>
      <c r="E658" s="5" t="s">
        <v>140</v>
      </c>
      <c r="F658" s="1" t="s">
        <v>14</v>
      </c>
      <c r="G658" s="1" t="s">
        <v>139</v>
      </c>
    </row>
    <row r="659" spans="1:11" x14ac:dyDescent="0.25">
      <c r="A659" s="1">
        <v>3010108</v>
      </c>
      <c r="B659" s="1">
        <v>301001</v>
      </c>
      <c r="C659" s="1">
        <v>7</v>
      </c>
      <c r="D659" s="1">
        <v>500</v>
      </c>
      <c r="E659" s="5" t="s">
        <v>140</v>
      </c>
      <c r="F659" s="1" t="s">
        <v>14</v>
      </c>
      <c r="G659" s="1" t="s">
        <v>139</v>
      </c>
    </row>
    <row r="660" spans="1:11" x14ac:dyDescent="0.25">
      <c r="A660" s="1">
        <v>3010109</v>
      </c>
      <c r="B660" s="1">
        <v>301001</v>
      </c>
      <c r="C660" s="1">
        <v>8</v>
      </c>
      <c r="D660" s="1">
        <v>1000</v>
      </c>
      <c r="E660" s="5" t="s">
        <v>140</v>
      </c>
      <c r="F660" s="1" t="s">
        <v>14</v>
      </c>
      <c r="G660" s="1" t="s">
        <v>139</v>
      </c>
    </row>
    <row r="661" spans="1:11" x14ac:dyDescent="0.25">
      <c r="A661" s="1">
        <v>3010110</v>
      </c>
      <c r="B661" s="1">
        <v>301001</v>
      </c>
      <c r="C661" s="1">
        <v>9</v>
      </c>
      <c r="D661" s="1">
        <v>1100</v>
      </c>
      <c r="E661" s="5" t="s">
        <v>311</v>
      </c>
      <c r="F661" s="1" t="s">
        <v>14</v>
      </c>
      <c r="G661" s="1" t="s">
        <v>139</v>
      </c>
    </row>
    <row r="662" spans="1:11" x14ac:dyDescent="0.25">
      <c r="A662" s="1">
        <f>A661+1</f>
        <v>3010111</v>
      </c>
      <c r="B662" s="1">
        <f>B661</f>
        <v>301001</v>
      </c>
      <c r="C662" s="1">
        <f>C661+1</f>
        <v>10</v>
      </c>
      <c r="D662" s="1">
        <f>D661+100</f>
        <v>1200</v>
      </c>
      <c r="E662" s="5" t="str">
        <f>IF(J662=0,J662,J662&amp;K662)</f>
        <v>速度+10</v>
      </c>
      <c r="F662" s="1" t="str">
        <f>F661</f>
        <v>1+0;</v>
      </c>
      <c r="G662" s="1" t="str">
        <f>G661</f>
        <v>步海阁</v>
      </c>
      <c r="J662" s="36" t="s">
        <v>140</v>
      </c>
      <c r="K662" s="5"/>
    </row>
    <row r="663" spans="1:11" x14ac:dyDescent="0.25">
      <c r="A663" s="16">
        <v>3010201</v>
      </c>
      <c r="B663" s="1">
        <v>301002</v>
      </c>
      <c r="C663" s="17">
        <v>1</v>
      </c>
      <c r="D663" s="17">
        <v>0</v>
      </c>
      <c r="E663" s="5">
        <v>0</v>
      </c>
      <c r="F663" s="1" t="s">
        <v>14</v>
      </c>
      <c r="G663" s="17" t="s">
        <v>141</v>
      </c>
      <c r="H663" s="17" t="s">
        <v>142</v>
      </c>
    </row>
    <row r="664" spans="1:11" x14ac:dyDescent="0.25">
      <c r="A664" s="16">
        <v>3010202</v>
      </c>
      <c r="B664" s="1">
        <v>301002</v>
      </c>
      <c r="C664" s="17">
        <v>1</v>
      </c>
      <c r="D664" s="17">
        <v>10</v>
      </c>
      <c r="E664" s="5" t="s">
        <v>140</v>
      </c>
      <c r="F664" s="1" t="s">
        <v>14</v>
      </c>
      <c r="G664" s="17" t="s">
        <v>141</v>
      </c>
      <c r="H664" s="17" t="s">
        <v>143</v>
      </c>
    </row>
    <row r="665" spans="1:11" x14ac:dyDescent="0.25">
      <c r="A665" s="16">
        <v>3010203</v>
      </c>
      <c r="B665" s="1">
        <v>301002</v>
      </c>
      <c r="C665" s="16">
        <v>2</v>
      </c>
      <c r="D665" s="16">
        <v>50</v>
      </c>
      <c r="E665" s="5" t="s">
        <v>140</v>
      </c>
      <c r="F665" s="1" t="s">
        <v>14</v>
      </c>
      <c r="G665" s="17" t="s">
        <v>141</v>
      </c>
      <c r="H665" s="16" t="s">
        <v>144</v>
      </c>
    </row>
    <row r="666" spans="1:11" x14ac:dyDescent="0.25">
      <c r="A666" s="16">
        <v>3010204</v>
      </c>
      <c r="B666" s="1">
        <v>301002</v>
      </c>
      <c r="C666" s="17">
        <v>3</v>
      </c>
      <c r="D666" s="17">
        <v>100</v>
      </c>
      <c r="E666" s="5" t="s">
        <v>140</v>
      </c>
      <c r="F666" s="1" t="s">
        <v>14</v>
      </c>
      <c r="G666" s="17" t="s">
        <v>141</v>
      </c>
      <c r="H666" s="17" t="s">
        <v>145</v>
      </c>
    </row>
    <row r="667" spans="1:11" x14ac:dyDescent="0.25">
      <c r="A667" s="16">
        <v>3010205</v>
      </c>
      <c r="B667" s="1">
        <v>301002</v>
      </c>
      <c r="C667" s="16">
        <v>4</v>
      </c>
      <c r="D667" s="16">
        <v>200</v>
      </c>
      <c r="E667" s="5" t="s">
        <v>140</v>
      </c>
      <c r="F667" s="1" t="s">
        <v>14</v>
      </c>
      <c r="G667" s="17" t="s">
        <v>141</v>
      </c>
      <c r="H667" s="16" t="s">
        <v>146</v>
      </c>
    </row>
    <row r="668" spans="1:11" x14ac:dyDescent="0.25">
      <c r="A668" s="16">
        <v>3010206</v>
      </c>
      <c r="B668" s="1">
        <v>301002</v>
      </c>
      <c r="C668" s="16">
        <v>5</v>
      </c>
      <c r="D668" s="16">
        <v>300</v>
      </c>
      <c r="E668" s="5" t="s">
        <v>140</v>
      </c>
      <c r="F668" s="1" t="s">
        <v>14</v>
      </c>
      <c r="G668" s="17" t="s">
        <v>141</v>
      </c>
      <c r="H668" s="16" t="s">
        <v>147</v>
      </c>
    </row>
    <row r="669" spans="1:11" x14ac:dyDescent="0.25">
      <c r="A669" s="16">
        <v>3010207</v>
      </c>
      <c r="B669" s="1">
        <v>301002</v>
      </c>
      <c r="C669" s="16">
        <v>6</v>
      </c>
      <c r="D669" s="16">
        <v>400</v>
      </c>
      <c r="E669" s="5" t="s">
        <v>140</v>
      </c>
      <c r="F669" s="1" t="s">
        <v>14</v>
      </c>
      <c r="G669" s="17" t="s">
        <v>141</v>
      </c>
      <c r="H669" s="16" t="s">
        <v>143</v>
      </c>
    </row>
    <row r="670" spans="1:11" x14ac:dyDescent="0.25">
      <c r="A670" s="16">
        <v>3010208</v>
      </c>
      <c r="B670" s="1">
        <v>301002</v>
      </c>
      <c r="C670" s="16">
        <v>7</v>
      </c>
      <c r="D670" s="16">
        <v>500</v>
      </c>
      <c r="E670" s="5" t="s">
        <v>140</v>
      </c>
      <c r="F670" s="1" t="s">
        <v>14</v>
      </c>
      <c r="G670" s="17" t="s">
        <v>141</v>
      </c>
      <c r="H670" s="16" t="s">
        <v>148</v>
      </c>
    </row>
    <row r="671" spans="1:11" x14ac:dyDescent="0.25">
      <c r="A671" s="16">
        <v>3010209</v>
      </c>
      <c r="B671" s="1">
        <v>301002</v>
      </c>
      <c r="C671" s="16">
        <v>8</v>
      </c>
      <c r="D671" s="16">
        <v>1000</v>
      </c>
      <c r="E671" s="5" t="s">
        <v>140</v>
      </c>
      <c r="F671" s="1" t="s">
        <v>14</v>
      </c>
      <c r="G671" s="17" t="s">
        <v>141</v>
      </c>
      <c r="H671" s="16" t="s">
        <v>148</v>
      </c>
    </row>
    <row r="672" spans="1:11" x14ac:dyDescent="0.25">
      <c r="A672" s="16">
        <v>3010210</v>
      </c>
      <c r="B672" s="1">
        <v>301002</v>
      </c>
      <c r="C672" s="16">
        <v>9</v>
      </c>
      <c r="D672" s="16">
        <v>1100</v>
      </c>
      <c r="E672" s="5" t="s">
        <v>140</v>
      </c>
      <c r="F672" s="1" t="s">
        <v>14</v>
      </c>
      <c r="G672" s="16" t="s">
        <v>141</v>
      </c>
      <c r="H672" s="16" t="s">
        <v>148</v>
      </c>
    </row>
    <row r="673" spans="1:11" x14ac:dyDescent="0.25">
      <c r="A673" s="1">
        <f>A672+1</f>
        <v>3010211</v>
      </c>
      <c r="B673" s="1">
        <f>B672</f>
        <v>301002</v>
      </c>
      <c r="C673" s="1">
        <f>C672+1</f>
        <v>10</v>
      </c>
      <c r="D673" s="1">
        <f>D672+100</f>
        <v>1200</v>
      </c>
      <c r="E673" s="5" t="str">
        <f>IF(J673=0,J673,J673&amp;K673)</f>
        <v>速度+10</v>
      </c>
      <c r="F673" s="1" t="str">
        <f>F672</f>
        <v>1+0;</v>
      </c>
      <c r="G673" s="1" t="str">
        <f>G672</f>
        <v>赶蝉游身环</v>
      </c>
      <c r="J673" s="36" t="s">
        <v>140</v>
      </c>
      <c r="K673" s="5"/>
    </row>
    <row r="674" spans="1:11" x14ac:dyDescent="0.25">
      <c r="A674" s="18">
        <v>3010301</v>
      </c>
      <c r="B674" s="1">
        <v>301003</v>
      </c>
      <c r="C674" s="18">
        <v>1</v>
      </c>
      <c r="D674" s="18">
        <v>0</v>
      </c>
      <c r="E674" s="5">
        <v>0</v>
      </c>
      <c r="F674" s="1" t="s">
        <v>14</v>
      </c>
      <c r="G674" s="18" t="s">
        <v>149</v>
      </c>
      <c r="H674" s="18" t="s">
        <v>150</v>
      </c>
    </row>
    <row r="675" spans="1:11" x14ac:dyDescent="0.25">
      <c r="A675" s="19">
        <v>3010302</v>
      </c>
      <c r="B675" s="1">
        <v>301003</v>
      </c>
      <c r="C675" s="19">
        <v>1</v>
      </c>
      <c r="D675" s="19">
        <v>10</v>
      </c>
      <c r="E675" s="5" t="s">
        <v>140</v>
      </c>
      <c r="F675" s="1" t="s">
        <v>14</v>
      </c>
      <c r="G675" s="19" t="s">
        <v>149</v>
      </c>
      <c r="H675" s="19" t="s">
        <v>151</v>
      </c>
    </row>
    <row r="676" spans="1:11" x14ac:dyDescent="0.25">
      <c r="A676" s="18">
        <v>3010303</v>
      </c>
      <c r="B676" s="1">
        <v>301003</v>
      </c>
      <c r="C676" s="19">
        <v>2</v>
      </c>
      <c r="D676" s="19">
        <v>50</v>
      </c>
      <c r="E676" s="5" t="s">
        <v>140</v>
      </c>
      <c r="F676" s="1" t="s">
        <v>14</v>
      </c>
      <c r="G676" s="19" t="s">
        <v>149</v>
      </c>
      <c r="H676" s="19" t="s">
        <v>152</v>
      </c>
    </row>
    <row r="677" spans="1:11" x14ac:dyDescent="0.25">
      <c r="A677" s="19">
        <v>3010304</v>
      </c>
      <c r="B677" s="1">
        <v>301003</v>
      </c>
      <c r="C677" s="19">
        <v>3</v>
      </c>
      <c r="D677" s="19">
        <v>100</v>
      </c>
      <c r="E677" s="5" t="s">
        <v>140</v>
      </c>
      <c r="F677" s="1" t="s">
        <v>14</v>
      </c>
      <c r="G677" s="19" t="s">
        <v>149</v>
      </c>
      <c r="H677" s="19" t="s">
        <v>153</v>
      </c>
    </row>
    <row r="678" spans="1:11" x14ac:dyDescent="0.25">
      <c r="A678" s="18">
        <v>3010305</v>
      </c>
      <c r="B678" s="1">
        <v>301003</v>
      </c>
      <c r="C678" s="19">
        <v>4</v>
      </c>
      <c r="D678" s="19">
        <v>200</v>
      </c>
      <c r="E678" s="5" t="s">
        <v>140</v>
      </c>
      <c r="F678" s="1" t="s">
        <v>14</v>
      </c>
      <c r="G678" s="19" t="s">
        <v>149</v>
      </c>
      <c r="H678" s="19" t="s">
        <v>154</v>
      </c>
    </row>
    <row r="679" spans="1:11" x14ac:dyDescent="0.25">
      <c r="A679" s="19">
        <v>3010306</v>
      </c>
      <c r="B679" s="1">
        <v>301003</v>
      </c>
      <c r="C679" s="19">
        <v>5</v>
      </c>
      <c r="D679" s="19">
        <v>300</v>
      </c>
      <c r="E679" s="5" t="s">
        <v>140</v>
      </c>
      <c r="F679" s="1" t="s">
        <v>14</v>
      </c>
      <c r="G679" s="19" t="s">
        <v>149</v>
      </c>
      <c r="H679" s="19" t="s">
        <v>143</v>
      </c>
    </row>
    <row r="680" spans="1:11" x14ac:dyDescent="0.25">
      <c r="A680" s="18">
        <v>3010307</v>
      </c>
      <c r="B680" s="1">
        <v>301003</v>
      </c>
      <c r="C680" s="19">
        <v>6</v>
      </c>
      <c r="D680" s="19">
        <v>400</v>
      </c>
      <c r="E680" s="5" t="s">
        <v>140</v>
      </c>
      <c r="F680" s="1" t="s">
        <v>14</v>
      </c>
      <c r="G680" s="19" t="s">
        <v>149</v>
      </c>
      <c r="H680" s="19" t="s">
        <v>143</v>
      </c>
    </row>
    <row r="681" spans="1:11" x14ac:dyDescent="0.25">
      <c r="A681" s="19">
        <v>3010308</v>
      </c>
      <c r="B681" s="1">
        <v>301003</v>
      </c>
      <c r="C681" s="19">
        <v>7</v>
      </c>
      <c r="D681" s="19">
        <v>500</v>
      </c>
      <c r="E681" s="5" t="s">
        <v>140</v>
      </c>
      <c r="F681" s="1" t="s">
        <v>14</v>
      </c>
      <c r="G681" s="19" t="s">
        <v>149</v>
      </c>
      <c r="H681" s="19" t="s">
        <v>155</v>
      </c>
    </row>
    <row r="682" spans="1:11" x14ac:dyDescent="0.25">
      <c r="A682" s="18">
        <v>3010309</v>
      </c>
      <c r="B682" s="1">
        <v>301003</v>
      </c>
      <c r="C682" s="19">
        <v>8</v>
      </c>
      <c r="D682" s="19">
        <v>1000</v>
      </c>
      <c r="E682" s="5" t="s">
        <v>140</v>
      </c>
      <c r="F682" s="1" t="s">
        <v>14</v>
      </c>
      <c r="G682" s="19" t="s">
        <v>149</v>
      </c>
      <c r="H682" s="19" t="s">
        <v>155</v>
      </c>
    </row>
    <row r="683" spans="1:11" x14ac:dyDescent="0.25">
      <c r="A683" s="19">
        <v>3010310</v>
      </c>
      <c r="B683" s="1">
        <v>301003</v>
      </c>
      <c r="C683" s="19">
        <v>9</v>
      </c>
      <c r="D683" s="19">
        <v>1100</v>
      </c>
      <c r="E683" s="5" t="s">
        <v>140</v>
      </c>
      <c r="F683" s="1" t="s">
        <v>14</v>
      </c>
      <c r="G683" s="19" t="s">
        <v>149</v>
      </c>
      <c r="H683" s="19" t="s">
        <v>155</v>
      </c>
    </row>
    <row r="684" spans="1:11" x14ac:dyDescent="0.25">
      <c r="A684" s="1">
        <f>A683+1</f>
        <v>3010311</v>
      </c>
      <c r="B684" s="1">
        <f>B683</f>
        <v>301003</v>
      </c>
      <c r="C684" s="1">
        <f>C683+1</f>
        <v>10</v>
      </c>
      <c r="D684" s="1">
        <f>D683+100</f>
        <v>1200</v>
      </c>
      <c r="E684" s="5" t="str">
        <f>IF(J684=0,J684,J684&amp;K684)</f>
        <v>速度+10</v>
      </c>
      <c r="F684" s="1" t="str">
        <f>F683</f>
        <v>1+0;</v>
      </c>
      <c r="G684" s="1" t="str">
        <f>G683</f>
        <v>洄流身法</v>
      </c>
      <c r="J684" s="36" t="s">
        <v>140</v>
      </c>
      <c r="K684" s="5"/>
    </row>
    <row r="685" spans="1:11" x14ac:dyDescent="0.25">
      <c r="A685" s="20">
        <v>3010401</v>
      </c>
      <c r="B685" s="1">
        <v>301004</v>
      </c>
      <c r="C685" s="20">
        <v>1</v>
      </c>
      <c r="D685" s="20">
        <v>0</v>
      </c>
      <c r="E685" s="5">
        <v>0</v>
      </c>
      <c r="F685" s="1" t="s">
        <v>14</v>
      </c>
      <c r="G685" s="20" t="s">
        <v>156</v>
      </c>
      <c r="H685" s="20" t="s">
        <v>157</v>
      </c>
    </row>
    <row r="686" spans="1:11" x14ac:dyDescent="0.25">
      <c r="A686" s="20">
        <v>3010402</v>
      </c>
      <c r="B686" s="1">
        <v>301004</v>
      </c>
      <c r="C686" s="20">
        <v>1</v>
      </c>
      <c r="D686" s="20">
        <v>10</v>
      </c>
      <c r="E686" s="5" t="s">
        <v>140</v>
      </c>
      <c r="F686" s="1" t="s">
        <v>14</v>
      </c>
      <c r="G686" s="20" t="s">
        <v>156</v>
      </c>
      <c r="H686" s="20" t="s">
        <v>158</v>
      </c>
    </row>
    <row r="687" spans="1:11" x14ac:dyDescent="0.25">
      <c r="A687" s="20">
        <v>3010403</v>
      </c>
      <c r="B687" s="1">
        <v>301004</v>
      </c>
      <c r="C687" s="20">
        <v>2</v>
      </c>
      <c r="D687" s="20">
        <v>50</v>
      </c>
      <c r="E687" s="5" t="s">
        <v>140</v>
      </c>
      <c r="F687" s="1" t="s">
        <v>14</v>
      </c>
      <c r="G687" s="20" t="s">
        <v>156</v>
      </c>
      <c r="H687" s="20" t="s">
        <v>159</v>
      </c>
    </row>
    <row r="688" spans="1:11" x14ac:dyDescent="0.25">
      <c r="A688" s="20">
        <v>3010404</v>
      </c>
      <c r="B688" s="1">
        <v>301004</v>
      </c>
      <c r="C688" s="20">
        <v>3</v>
      </c>
      <c r="D688" s="20">
        <v>100</v>
      </c>
      <c r="E688" s="5" t="s">
        <v>140</v>
      </c>
      <c r="F688" s="1" t="s">
        <v>14</v>
      </c>
      <c r="G688" s="20" t="s">
        <v>156</v>
      </c>
      <c r="H688" s="20" t="s">
        <v>143</v>
      </c>
    </row>
    <row r="689" spans="1:11" x14ac:dyDescent="0.25">
      <c r="A689" s="20">
        <v>3010405</v>
      </c>
      <c r="B689" s="1">
        <v>301004</v>
      </c>
      <c r="C689" s="20">
        <v>4</v>
      </c>
      <c r="D689" s="20">
        <v>200</v>
      </c>
      <c r="E689" s="5" t="s">
        <v>140</v>
      </c>
      <c r="F689" s="1" t="s">
        <v>14</v>
      </c>
      <c r="G689" s="20" t="s">
        <v>156</v>
      </c>
      <c r="H689" s="20" t="s">
        <v>160</v>
      </c>
    </row>
    <row r="690" spans="1:11" x14ac:dyDescent="0.25">
      <c r="A690" s="20">
        <v>3010406</v>
      </c>
      <c r="B690" s="1">
        <v>301004</v>
      </c>
      <c r="C690" s="20">
        <v>5</v>
      </c>
      <c r="D690" s="20">
        <v>300</v>
      </c>
      <c r="E690" s="5" t="s">
        <v>140</v>
      </c>
      <c r="F690" s="1" t="s">
        <v>14</v>
      </c>
      <c r="G690" s="20" t="s">
        <v>156</v>
      </c>
      <c r="H690" s="20" t="s">
        <v>143</v>
      </c>
    </row>
    <row r="691" spans="1:11" x14ac:dyDescent="0.25">
      <c r="A691" s="20">
        <v>3010407</v>
      </c>
      <c r="B691" s="1">
        <v>301004</v>
      </c>
      <c r="C691" s="20">
        <v>6</v>
      </c>
      <c r="D691" s="20">
        <v>400</v>
      </c>
      <c r="E691" s="5" t="s">
        <v>140</v>
      </c>
      <c r="F691" s="1" t="s">
        <v>14</v>
      </c>
      <c r="G691" s="20" t="s">
        <v>156</v>
      </c>
      <c r="H691" s="20" t="s">
        <v>161</v>
      </c>
    </row>
    <row r="692" spans="1:11" x14ac:dyDescent="0.25">
      <c r="A692" s="20">
        <v>3010408</v>
      </c>
      <c r="B692" s="1">
        <v>301004</v>
      </c>
      <c r="C692" s="20">
        <v>7</v>
      </c>
      <c r="D692" s="20">
        <v>500</v>
      </c>
      <c r="E692" s="5" t="s">
        <v>140</v>
      </c>
      <c r="F692" s="1" t="s">
        <v>14</v>
      </c>
      <c r="G692" s="20" t="s">
        <v>156</v>
      </c>
      <c r="H692" s="20" t="s">
        <v>162</v>
      </c>
    </row>
    <row r="693" spans="1:11" x14ac:dyDescent="0.25">
      <c r="A693" s="20">
        <v>3010409</v>
      </c>
      <c r="B693" s="1">
        <v>301004</v>
      </c>
      <c r="C693" s="20">
        <v>8</v>
      </c>
      <c r="D693" s="20">
        <v>1000</v>
      </c>
      <c r="E693" s="5" t="s">
        <v>140</v>
      </c>
      <c r="F693" s="1" t="s">
        <v>14</v>
      </c>
      <c r="G693" s="20" t="s">
        <v>156</v>
      </c>
      <c r="H693" s="20" t="s">
        <v>162</v>
      </c>
    </row>
    <row r="694" spans="1:11" x14ac:dyDescent="0.25">
      <c r="A694" s="20">
        <v>3010410</v>
      </c>
      <c r="B694" s="1">
        <v>301004</v>
      </c>
      <c r="C694" s="20">
        <v>9</v>
      </c>
      <c r="D694" s="20">
        <v>1100</v>
      </c>
      <c r="E694" s="5" t="s">
        <v>140</v>
      </c>
      <c r="F694" s="1" t="s">
        <v>14</v>
      </c>
      <c r="G694" s="20" t="s">
        <v>156</v>
      </c>
      <c r="H694" s="20" t="s">
        <v>162</v>
      </c>
    </row>
    <row r="695" spans="1:11" x14ac:dyDescent="0.25">
      <c r="A695" s="1">
        <f>A694+1</f>
        <v>3010411</v>
      </c>
      <c r="B695" s="1">
        <f>B694</f>
        <v>301004</v>
      </c>
      <c r="C695" s="1">
        <f>C694+1</f>
        <v>10</v>
      </c>
      <c r="D695" s="1">
        <f>D694+100</f>
        <v>1200</v>
      </c>
      <c r="E695" s="5" t="str">
        <f>IF(J695=0,J695,J695&amp;K695)</f>
        <v>速度+10</v>
      </c>
      <c r="F695" s="1" t="str">
        <f>F694</f>
        <v>1+0;</v>
      </c>
      <c r="G695" s="1" t="str">
        <f>G694</f>
        <v>洛神踏雪步</v>
      </c>
      <c r="J695" s="36" t="s">
        <v>140</v>
      </c>
      <c r="K695" s="5"/>
    </row>
    <row r="696" spans="1:11" x14ac:dyDescent="0.25">
      <c r="A696" s="21">
        <v>3010501</v>
      </c>
      <c r="B696" s="1">
        <v>301005</v>
      </c>
      <c r="C696" s="21">
        <v>1</v>
      </c>
      <c r="D696" s="21">
        <v>0</v>
      </c>
      <c r="E696" s="5">
        <v>0</v>
      </c>
      <c r="F696" s="1" t="s">
        <v>14</v>
      </c>
      <c r="G696" s="21" t="s">
        <v>163</v>
      </c>
      <c r="H696" s="21" t="s">
        <v>164</v>
      </c>
    </row>
    <row r="697" spans="1:11" x14ac:dyDescent="0.25">
      <c r="A697" s="21">
        <v>3010502</v>
      </c>
      <c r="B697" s="1">
        <v>301005</v>
      </c>
      <c r="C697" s="21">
        <v>1</v>
      </c>
      <c r="D697" s="21">
        <v>10</v>
      </c>
      <c r="E697" s="5" t="s">
        <v>165</v>
      </c>
      <c r="F697" s="1" t="s">
        <v>14</v>
      </c>
      <c r="G697" s="21" t="s">
        <v>163</v>
      </c>
      <c r="H697" s="21" t="s">
        <v>166</v>
      </c>
    </row>
    <row r="698" spans="1:11" x14ac:dyDescent="0.25">
      <c r="A698" s="21">
        <v>3010503</v>
      </c>
      <c r="B698" s="1">
        <v>301005</v>
      </c>
      <c r="C698" s="21">
        <v>2</v>
      </c>
      <c r="D698" s="21">
        <v>50</v>
      </c>
      <c r="E698" s="5" t="s">
        <v>165</v>
      </c>
      <c r="F698" s="1" t="s">
        <v>14</v>
      </c>
      <c r="G698" s="21" t="s">
        <v>163</v>
      </c>
      <c r="H698" s="21" t="s">
        <v>167</v>
      </c>
    </row>
    <row r="699" spans="1:11" x14ac:dyDescent="0.25">
      <c r="A699" s="21">
        <v>3010504</v>
      </c>
      <c r="B699" s="1">
        <v>301005</v>
      </c>
      <c r="C699" s="21">
        <v>3</v>
      </c>
      <c r="D699" s="21">
        <v>100</v>
      </c>
      <c r="E699" s="5" t="s">
        <v>165</v>
      </c>
      <c r="F699" s="1" t="s">
        <v>14</v>
      </c>
      <c r="G699" s="21" t="s">
        <v>163</v>
      </c>
      <c r="H699" s="21" t="s">
        <v>143</v>
      </c>
    </row>
    <row r="700" spans="1:11" x14ac:dyDescent="0.25">
      <c r="A700" s="21">
        <v>3010505</v>
      </c>
      <c r="B700" s="1">
        <v>301005</v>
      </c>
      <c r="C700" s="22">
        <v>4</v>
      </c>
      <c r="D700" s="22">
        <v>200</v>
      </c>
      <c r="E700" s="5" t="s">
        <v>165</v>
      </c>
      <c r="F700" s="1" t="s">
        <v>14</v>
      </c>
      <c r="G700" s="21" t="s">
        <v>163</v>
      </c>
      <c r="H700" s="22" t="s">
        <v>168</v>
      </c>
    </row>
    <row r="701" spans="1:11" x14ac:dyDescent="0.25">
      <c r="A701" s="21">
        <v>3010506</v>
      </c>
      <c r="B701" s="1">
        <v>301005</v>
      </c>
      <c r="C701" s="22">
        <v>5</v>
      </c>
      <c r="D701" s="22">
        <v>300</v>
      </c>
      <c r="E701" s="5" t="s">
        <v>165</v>
      </c>
      <c r="F701" s="1" t="s">
        <v>14</v>
      </c>
      <c r="G701" s="21" t="s">
        <v>163</v>
      </c>
      <c r="H701" s="22" t="s">
        <v>169</v>
      </c>
    </row>
    <row r="702" spans="1:11" x14ac:dyDescent="0.25">
      <c r="A702" s="21">
        <v>3010507</v>
      </c>
      <c r="B702" s="1">
        <v>301005</v>
      </c>
      <c r="C702" s="22">
        <v>6</v>
      </c>
      <c r="D702" s="22">
        <v>400</v>
      </c>
      <c r="E702" s="5" t="s">
        <v>165</v>
      </c>
      <c r="F702" s="1" t="s">
        <v>14</v>
      </c>
      <c r="G702" s="21" t="s">
        <v>163</v>
      </c>
      <c r="H702" s="22" t="s">
        <v>143</v>
      </c>
    </row>
    <row r="703" spans="1:11" x14ac:dyDescent="0.25">
      <c r="A703" s="21">
        <v>3010508</v>
      </c>
      <c r="B703" s="1">
        <v>301005</v>
      </c>
      <c r="C703" s="22">
        <v>7</v>
      </c>
      <c r="D703" s="22">
        <v>500</v>
      </c>
      <c r="E703" s="5" t="s">
        <v>165</v>
      </c>
      <c r="F703" s="1" t="s">
        <v>14</v>
      </c>
      <c r="G703" s="21" t="s">
        <v>163</v>
      </c>
      <c r="H703" s="22" t="s">
        <v>170</v>
      </c>
    </row>
    <row r="704" spans="1:11" x14ac:dyDescent="0.25">
      <c r="A704" s="21">
        <v>3010509</v>
      </c>
      <c r="B704" s="1">
        <v>301005</v>
      </c>
      <c r="C704" s="22">
        <v>8</v>
      </c>
      <c r="D704" s="22">
        <v>1000</v>
      </c>
      <c r="E704" s="5" t="s">
        <v>165</v>
      </c>
      <c r="F704" s="1" t="s">
        <v>14</v>
      </c>
      <c r="G704" s="22" t="s">
        <v>163</v>
      </c>
      <c r="H704" s="22" t="s">
        <v>170</v>
      </c>
    </row>
    <row r="705" spans="1:11" x14ac:dyDescent="0.25">
      <c r="A705" s="21">
        <v>3010510</v>
      </c>
      <c r="B705" s="1">
        <v>301005</v>
      </c>
      <c r="C705" s="22">
        <v>9</v>
      </c>
      <c r="D705" s="22">
        <v>1100</v>
      </c>
      <c r="E705" s="5" t="s">
        <v>165</v>
      </c>
      <c r="F705" s="1" t="s">
        <v>14</v>
      </c>
      <c r="G705" s="22" t="s">
        <v>163</v>
      </c>
      <c r="H705" s="22" t="s">
        <v>170</v>
      </c>
    </row>
    <row r="706" spans="1:11" x14ac:dyDescent="0.25">
      <c r="A706" s="1">
        <f>A705+1</f>
        <v>3010511</v>
      </c>
      <c r="B706" s="1">
        <f>B705</f>
        <v>301005</v>
      </c>
      <c r="C706" s="1">
        <f>C705+1</f>
        <v>10</v>
      </c>
      <c r="D706" s="1">
        <f>D705+100</f>
        <v>1200</v>
      </c>
      <c r="E706" s="5" t="str">
        <f>IF(J706=0,J706,J706&amp;K706)</f>
        <v>速度+10</v>
      </c>
      <c r="F706" s="1" t="str">
        <f>F705</f>
        <v>1+0;</v>
      </c>
      <c r="G706" s="1" t="str">
        <f>G705</f>
        <v>晴梅花步</v>
      </c>
      <c r="J706" s="36" t="s">
        <v>140</v>
      </c>
      <c r="K706" s="5"/>
    </row>
    <row r="707" spans="1:11" x14ac:dyDescent="0.25">
      <c r="A707" s="1">
        <v>3010601</v>
      </c>
      <c r="B707" s="1">
        <v>301006</v>
      </c>
      <c r="C707" s="1">
        <v>1</v>
      </c>
      <c r="D707" s="1">
        <v>0</v>
      </c>
      <c r="E707" s="5">
        <v>0</v>
      </c>
      <c r="F707" s="1" t="s">
        <v>14</v>
      </c>
      <c r="G707" s="1" t="s">
        <v>171</v>
      </c>
    </row>
    <row r="708" spans="1:11" x14ac:dyDescent="0.25">
      <c r="A708" s="1">
        <v>3010602</v>
      </c>
      <c r="B708" s="1">
        <v>301006</v>
      </c>
      <c r="C708" s="1">
        <v>1</v>
      </c>
      <c r="D708" s="1">
        <v>10</v>
      </c>
      <c r="E708" s="5" t="s">
        <v>140</v>
      </c>
      <c r="F708" s="1" t="s">
        <v>14</v>
      </c>
      <c r="G708" s="1" t="s">
        <v>171</v>
      </c>
    </row>
    <row r="709" spans="1:11" x14ac:dyDescent="0.25">
      <c r="A709" s="1">
        <v>3010603</v>
      </c>
      <c r="B709" s="1">
        <v>301006</v>
      </c>
      <c r="C709" s="1">
        <v>2</v>
      </c>
      <c r="D709" s="1">
        <v>50</v>
      </c>
      <c r="E709" s="5" t="s">
        <v>140</v>
      </c>
      <c r="F709" s="1" t="s">
        <v>14</v>
      </c>
      <c r="G709" s="1" t="s">
        <v>171</v>
      </c>
    </row>
    <row r="710" spans="1:11" x14ac:dyDescent="0.25">
      <c r="A710" s="1">
        <v>3010604</v>
      </c>
      <c r="B710" s="1">
        <v>301006</v>
      </c>
      <c r="C710" s="1">
        <v>3</v>
      </c>
      <c r="D710" s="1">
        <v>100</v>
      </c>
      <c r="E710" s="5" t="s">
        <v>140</v>
      </c>
      <c r="F710" s="1" t="s">
        <v>14</v>
      </c>
      <c r="G710" s="1" t="s">
        <v>171</v>
      </c>
    </row>
    <row r="711" spans="1:11" x14ac:dyDescent="0.25">
      <c r="A711" s="1">
        <v>3010605</v>
      </c>
      <c r="B711" s="1">
        <v>301006</v>
      </c>
      <c r="C711" s="1">
        <v>4</v>
      </c>
      <c r="D711" s="1">
        <v>200</v>
      </c>
      <c r="E711" s="5" t="s">
        <v>140</v>
      </c>
      <c r="F711" s="1" t="s">
        <v>14</v>
      </c>
      <c r="G711" s="1" t="s">
        <v>171</v>
      </c>
    </row>
    <row r="712" spans="1:11" x14ac:dyDescent="0.25">
      <c r="A712" s="1">
        <v>3010606</v>
      </c>
      <c r="B712" s="1">
        <v>301006</v>
      </c>
      <c r="C712" s="1">
        <v>5</v>
      </c>
      <c r="D712" s="1">
        <v>300</v>
      </c>
      <c r="E712" s="5" t="s">
        <v>140</v>
      </c>
      <c r="F712" s="1" t="s">
        <v>14</v>
      </c>
      <c r="G712" s="1" t="s">
        <v>171</v>
      </c>
    </row>
    <row r="713" spans="1:11" x14ac:dyDescent="0.25">
      <c r="A713" s="1">
        <v>3010607</v>
      </c>
      <c r="B713" s="1">
        <v>301006</v>
      </c>
      <c r="C713" s="1">
        <v>6</v>
      </c>
      <c r="D713" s="1">
        <v>400</v>
      </c>
      <c r="E713" s="5" t="s">
        <v>140</v>
      </c>
      <c r="F713" s="1" t="s">
        <v>14</v>
      </c>
      <c r="G713" s="1" t="s">
        <v>171</v>
      </c>
    </row>
    <row r="714" spans="1:11" x14ac:dyDescent="0.25">
      <c r="A714" s="1">
        <v>3010608</v>
      </c>
      <c r="B714" s="1">
        <v>301006</v>
      </c>
      <c r="C714" s="1">
        <v>7</v>
      </c>
      <c r="D714" s="1">
        <v>500</v>
      </c>
      <c r="E714" s="5" t="s">
        <v>140</v>
      </c>
      <c r="F714" s="1" t="s">
        <v>14</v>
      </c>
      <c r="G714" s="1" t="s">
        <v>171</v>
      </c>
    </row>
    <row r="715" spans="1:11" x14ac:dyDescent="0.25">
      <c r="A715" s="1">
        <v>3010609</v>
      </c>
      <c r="B715" s="1">
        <v>301006</v>
      </c>
      <c r="C715" s="1">
        <v>8</v>
      </c>
      <c r="D715" s="1">
        <v>1000</v>
      </c>
      <c r="E715" s="5" t="s">
        <v>140</v>
      </c>
      <c r="F715" s="1" t="s">
        <v>14</v>
      </c>
      <c r="G715" s="1" t="s">
        <v>171</v>
      </c>
    </row>
    <row r="716" spans="1:11" x14ac:dyDescent="0.25">
      <c r="A716" s="1">
        <v>3010610</v>
      </c>
      <c r="B716" s="1">
        <v>301006</v>
      </c>
      <c r="C716" s="1">
        <v>9</v>
      </c>
      <c r="D716" s="1">
        <v>1100</v>
      </c>
      <c r="E716" s="5" t="s">
        <v>140</v>
      </c>
      <c r="F716" s="1" t="s">
        <v>14</v>
      </c>
      <c r="G716" s="1" t="s">
        <v>171</v>
      </c>
    </row>
    <row r="717" spans="1:11" x14ac:dyDescent="0.25">
      <c r="A717" s="1">
        <f>A716+1</f>
        <v>3010611</v>
      </c>
      <c r="B717" s="1">
        <f>B716</f>
        <v>301006</v>
      </c>
      <c r="C717" s="1">
        <f>C716+1</f>
        <v>10</v>
      </c>
      <c r="D717" s="1">
        <f>D716+100</f>
        <v>1200</v>
      </c>
      <c r="E717" s="5" t="str">
        <f>IF(J717=0,J717,J717&amp;K717)</f>
        <v>速度+10</v>
      </c>
      <c r="F717" s="1" t="str">
        <f>F716</f>
        <v>1+0;</v>
      </c>
      <c r="G717" s="1" t="str">
        <f>G716</f>
        <v>犰狳穿滚术</v>
      </c>
      <c r="J717" s="36" t="s">
        <v>140</v>
      </c>
      <c r="K717" s="5"/>
    </row>
    <row r="718" spans="1:11" x14ac:dyDescent="0.25">
      <c r="A718" s="23">
        <v>3010701</v>
      </c>
      <c r="B718" s="1">
        <v>301007</v>
      </c>
      <c r="C718" s="23">
        <v>1</v>
      </c>
      <c r="D718" s="23">
        <v>0</v>
      </c>
      <c r="E718" s="5">
        <v>0</v>
      </c>
      <c r="F718" s="1" t="s">
        <v>14</v>
      </c>
      <c r="G718" s="23" t="s">
        <v>172</v>
      </c>
      <c r="H718" s="23" t="s">
        <v>173</v>
      </c>
    </row>
    <row r="719" spans="1:11" x14ac:dyDescent="0.25">
      <c r="A719" s="23">
        <v>3010702</v>
      </c>
      <c r="B719" s="1">
        <v>301007</v>
      </c>
      <c r="C719" s="23">
        <v>1</v>
      </c>
      <c r="D719" s="23">
        <v>10</v>
      </c>
      <c r="E719" s="5" t="s">
        <v>140</v>
      </c>
      <c r="F719" s="1" t="s">
        <v>14</v>
      </c>
      <c r="G719" s="23" t="s">
        <v>172</v>
      </c>
      <c r="H719" s="23" t="s">
        <v>174</v>
      </c>
    </row>
    <row r="720" spans="1:11" x14ac:dyDescent="0.25">
      <c r="A720" s="23">
        <v>3010703</v>
      </c>
      <c r="B720" s="1">
        <v>301007</v>
      </c>
      <c r="C720" s="23">
        <v>2</v>
      </c>
      <c r="D720" s="23">
        <v>50</v>
      </c>
      <c r="E720" s="5" t="s">
        <v>140</v>
      </c>
      <c r="F720" s="1" t="s">
        <v>14</v>
      </c>
      <c r="G720" s="23" t="s">
        <v>172</v>
      </c>
      <c r="H720" s="23" t="s">
        <v>175</v>
      </c>
    </row>
    <row r="721" spans="1:11" x14ac:dyDescent="0.25">
      <c r="A721" s="23">
        <v>3010704</v>
      </c>
      <c r="B721" s="1">
        <v>301007</v>
      </c>
      <c r="C721" s="23">
        <v>3</v>
      </c>
      <c r="D721" s="23">
        <v>100</v>
      </c>
      <c r="E721" s="5" t="s">
        <v>140</v>
      </c>
      <c r="F721" s="1" t="s">
        <v>14</v>
      </c>
      <c r="G721" s="23" t="s">
        <v>172</v>
      </c>
      <c r="H721" s="23" t="s">
        <v>176</v>
      </c>
    </row>
    <row r="722" spans="1:11" x14ac:dyDescent="0.25">
      <c r="A722" s="23">
        <v>3010705</v>
      </c>
      <c r="B722" s="1">
        <v>301007</v>
      </c>
      <c r="C722" s="23">
        <v>4</v>
      </c>
      <c r="D722" s="23">
        <v>200</v>
      </c>
      <c r="E722" s="5" t="s">
        <v>140</v>
      </c>
      <c r="F722" s="1" t="s">
        <v>14</v>
      </c>
      <c r="G722" s="23" t="s">
        <v>172</v>
      </c>
      <c r="H722" s="23" t="s">
        <v>177</v>
      </c>
    </row>
    <row r="723" spans="1:11" x14ac:dyDescent="0.25">
      <c r="A723" s="23">
        <v>3010706</v>
      </c>
      <c r="B723" s="1">
        <v>301007</v>
      </c>
      <c r="C723" s="23">
        <v>5</v>
      </c>
      <c r="D723" s="23">
        <v>300</v>
      </c>
      <c r="E723" s="5" t="s">
        <v>140</v>
      </c>
      <c r="F723" s="1" t="s">
        <v>14</v>
      </c>
      <c r="G723" s="23" t="s">
        <v>172</v>
      </c>
      <c r="H723" s="23" t="s">
        <v>143</v>
      </c>
    </row>
    <row r="724" spans="1:11" x14ac:dyDescent="0.25">
      <c r="A724" s="23">
        <v>3010707</v>
      </c>
      <c r="B724" s="1">
        <v>301007</v>
      </c>
      <c r="C724" s="23">
        <v>6</v>
      </c>
      <c r="D724" s="23">
        <v>400</v>
      </c>
      <c r="E724" s="5" t="s">
        <v>140</v>
      </c>
      <c r="F724" s="1" t="s">
        <v>14</v>
      </c>
      <c r="G724" s="23" t="s">
        <v>172</v>
      </c>
      <c r="H724" s="23" t="s">
        <v>143</v>
      </c>
    </row>
    <row r="725" spans="1:11" x14ac:dyDescent="0.25">
      <c r="A725" s="23">
        <v>3010708</v>
      </c>
      <c r="B725" s="1">
        <v>301007</v>
      </c>
      <c r="C725" s="23">
        <v>7</v>
      </c>
      <c r="D725" s="23">
        <v>500</v>
      </c>
      <c r="E725" s="5" t="s">
        <v>140</v>
      </c>
      <c r="F725" s="1" t="s">
        <v>14</v>
      </c>
      <c r="G725" s="23" t="s">
        <v>172</v>
      </c>
      <c r="H725" s="23" t="s">
        <v>178</v>
      </c>
    </row>
    <row r="726" spans="1:11" x14ac:dyDescent="0.25">
      <c r="A726" s="23">
        <v>3010709</v>
      </c>
      <c r="B726" s="1">
        <v>301007</v>
      </c>
      <c r="C726" s="23">
        <v>8</v>
      </c>
      <c r="D726" s="23">
        <v>1000</v>
      </c>
      <c r="E726" s="5" t="s">
        <v>140</v>
      </c>
      <c r="F726" s="1" t="s">
        <v>14</v>
      </c>
      <c r="G726" s="23" t="s">
        <v>172</v>
      </c>
      <c r="H726" s="23" t="s">
        <v>178</v>
      </c>
    </row>
    <row r="727" spans="1:11" x14ac:dyDescent="0.25">
      <c r="A727" s="23">
        <v>3010710</v>
      </c>
      <c r="B727" s="1">
        <v>301007</v>
      </c>
      <c r="C727" s="23">
        <v>9</v>
      </c>
      <c r="D727" s="23">
        <v>1100</v>
      </c>
      <c r="E727" s="5" t="s">
        <v>140</v>
      </c>
      <c r="F727" s="1" t="s">
        <v>14</v>
      </c>
      <c r="G727" s="23" t="s">
        <v>172</v>
      </c>
      <c r="H727" s="23" t="s">
        <v>178</v>
      </c>
    </row>
    <row r="728" spans="1:11" x14ac:dyDescent="0.25">
      <c r="A728" s="1">
        <f>A727+1</f>
        <v>3010711</v>
      </c>
      <c r="B728" s="1">
        <f>B727</f>
        <v>301007</v>
      </c>
      <c r="C728" s="1">
        <f>C727+1</f>
        <v>10</v>
      </c>
      <c r="D728" s="1">
        <f>D727+100</f>
        <v>1200</v>
      </c>
      <c r="E728" s="5" t="str">
        <f>IF(J728=0,J728,J728&amp;K728)</f>
        <v>速度+10</v>
      </c>
      <c r="F728" s="1" t="str">
        <f>F727</f>
        <v>1+0;</v>
      </c>
      <c r="G728" s="1" t="str">
        <f>G727</f>
        <v>梯云纵</v>
      </c>
      <c r="J728" s="36" t="s">
        <v>140</v>
      </c>
      <c r="K728" s="5"/>
    </row>
    <row r="729" spans="1:11" x14ac:dyDescent="0.25">
      <c r="A729" s="24">
        <v>3010801</v>
      </c>
      <c r="B729" s="1">
        <v>301008</v>
      </c>
      <c r="C729" s="24">
        <v>1</v>
      </c>
      <c r="D729" s="24">
        <v>0</v>
      </c>
      <c r="E729" s="5">
        <v>0</v>
      </c>
      <c r="F729" s="1" t="s">
        <v>14</v>
      </c>
      <c r="G729" s="24" t="s">
        <v>179</v>
      </c>
      <c r="H729" s="24" t="s">
        <v>180</v>
      </c>
    </row>
    <row r="730" spans="1:11" x14ac:dyDescent="0.25">
      <c r="A730" s="24">
        <v>3010802</v>
      </c>
      <c r="B730" s="1">
        <v>301008</v>
      </c>
      <c r="C730" s="24">
        <v>1</v>
      </c>
      <c r="D730" s="24">
        <v>10</v>
      </c>
      <c r="E730" s="5" t="s">
        <v>140</v>
      </c>
      <c r="F730" s="1" t="s">
        <v>14</v>
      </c>
      <c r="G730" s="24" t="s">
        <v>179</v>
      </c>
      <c r="H730" s="24" t="s">
        <v>181</v>
      </c>
    </row>
    <row r="731" spans="1:11" x14ac:dyDescent="0.25">
      <c r="A731" s="24">
        <v>3010803</v>
      </c>
      <c r="B731" s="1">
        <v>301008</v>
      </c>
      <c r="C731" s="24">
        <v>2</v>
      </c>
      <c r="D731" s="24">
        <v>50</v>
      </c>
      <c r="E731" s="5" t="s">
        <v>140</v>
      </c>
      <c r="F731" s="1" t="s">
        <v>14</v>
      </c>
      <c r="G731" s="24" t="s">
        <v>179</v>
      </c>
      <c r="H731" s="24" t="s">
        <v>182</v>
      </c>
    </row>
    <row r="732" spans="1:11" x14ac:dyDescent="0.25">
      <c r="A732" s="24">
        <v>3010804</v>
      </c>
      <c r="B732" s="1">
        <v>301008</v>
      </c>
      <c r="C732" s="24">
        <v>3</v>
      </c>
      <c r="D732" s="24">
        <v>100</v>
      </c>
      <c r="E732" s="5" t="s">
        <v>140</v>
      </c>
      <c r="F732" s="1" t="s">
        <v>14</v>
      </c>
      <c r="G732" s="24" t="s">
        <v>179</v>
      </c>
      <c r="H732" s="24" t="s">
        <v>143</v>
      </c>
    </row>
    <row r="733" spans="1:11" x14ac:dyDescent="0.25">
      <c r="A733" s="24">
        <v>3010805</v>
      </c>
      <c r="B733" s="1">
        <v>301008</v>
      </c>
      <c r="C733" s="24">
        <v>4</v>
      </c>
      <c r="D733" s="24">
        <v>200</v>
      </c>
      <c r="E733" s="5" t="s">
        <v>140</v>
      </c>
      <c r="F733" s="1" t="s">
        <v>14</v>
      </c>
      <c r="G733" s="24" t="s">
        <v>179</v>
      </c>
      <c r="H733" s="24" t="s">
        <v>183</v>
      </c>
    </row>
    <row r="734" spans="1:11" x14ac:dyDescent="0.25">
      <c r="A734" s="24">
        <v>3010806</v>
      </c>
      <c r="B734" s="1">
        <v>301008</v>
      </c>
      <c r="C734" s="24">
        <v>5</v>
      </c>
      <c r="D734" s="24">
        <v>300</v>
      </c>
      <c r="E734" s="5" t="s">
        <v>140</v>
      </c>
      <c r="F734" s="1" t="s">
        <v>14</v>
      </c>
      <c r="G734" s="24" t="s">
        <v>179</v>
      </c>
      <c r="H734" s="24" t="s">
        <v>184</v>
      </c>
    </row>
    <row r="735" spans="1:11" x14ac:dyDescent="0.25">
      <c r="A735" s="24">
        <v>3010807</v>
      </c>
      <c r="B735" s="1">
        <v>301008</v>
      </c>
      <c r="C735" s="24">
        <v>6</v>
      </c>
      <c r="D735" s="24">
        <v>400</v>
      </c>
      <c r="E735" s="5" t="s">
        <v>140</v>
      </c>
      <c r="F735" s="1" t="s">
        <v>14</v>
      </c>
      <c r="G735" s="24" t="s">
        <v>179</v>
      </c>
      <c r="H735" s="24" t="s">
        <v>143</v>
      </c>
    </row>
    <row r="736" spans="1:11" x14ac:dyDescent="0.25">
      <c r="A736" s="24">
        <v>3010808</v>
      </c>
      <c r="B736" s="1">
        <v>301008</v>
      </c>
      <c r="C736" s="24">
        <v>7</v>
      </c>
      <c r="D736" s="24">
        <v>500</v>
      </c>
      <c r="E736" s="5" t="s">
        <v>140</v>
      </c>
      <c r="F736" s="1" t="s">
        <v>14</v>
      </c>
      <c r="G736" s="24" t="s">
        <v>179</v>
      </c>
      <c r="H736" s="24" t="s">
        <v>185</v>
      </c>
    </row>
    <row r="737" spans="1:11" x14ac:dyDescent="0.25">
      <c r="A737" s="24">
        <v>3010809</v>
      </c>
      <c r="B737" s="1">
        <v>301008</v>
      </c>
      <c r="C737" s="24">
        <v>8</v>
      </c>
      <c r="D737" s="24">
        <v>1000</v>
      </c>
      <c r="E737" s="5" t="s">
        <v>140</v>
      </c>
      <c r="F737" s="1" t="s">
        <v>14</v>
      </c>
      <c r="G737" s="24" t="s">
        <v>179</v>
      </c>
      <c r="H737" s="24" t="s">
        <v>185</v>
      </c>
    </row>
    <row r="738" spans="1:11" x14ac:dyDescent="0.25">
      <c r="A738" s="24">
        <v>3010810</v>
      </c>
      <c r="B738" s="1">
        <v>301008</v>
      </c>
      <c r="C738" s="24">
        <v>9</v>
      </c>
      <c r="D738" s="24">
        <v>1100</v>
      </c>
      <c r="E738" s="5" t="s">
        <v>140</v>
      </c>
      <c r="F738" s="1" t="s">
        <v>14</v>
      </c>
      <c r="G738" s="24" t="s">
        <v>179</v>
      </c>
      <c r="H738" s="24" t="s">
        <v>185</v>
      </c>
    </row>
    <row r="739" spans="1:11" x14ac:dyDescent="0.25">
      <c r="A739" s="1">
        <f>A738+1</f>
        <v>3010811</v>
      </c>
      <c r="B739" s="1">
        <f>B738</f>
        <v>301008</v>
      </c>
      <c r="C739" s="1">
        <f>C738+1</f>
        <v>10</v>
      </c>
      <c r="D739" s="1">
        <f>D738+100</f>
        <v>1200</v>
      </c>
      <c r="E739" s="5" t="str">
        <f>IF(J739=0,J739,J739&amp;K739)</f>
        <v>速度+10</v>
      </c>
      <c r="F739" s="1" t="str">
        <f>F738</f>
        <v>1+0;</v>
      </c>
      <c r="G739" s="1" t="str">
        <f>G738</f>
        <v>魍魉诡步</v>
      </c>
      <c r="J739" s="36" t="s">
        <v>140</v>
      </c>
      <c r="K739" s="5"/>
    </row>
    <row r="740" spans="1:11" x14ac:dyDescent="0.25">
      <c r="A740" s="10">
        <v>3010901</v>
      </c>
      <c r="B740" s="1">
        <v>301009</v>
      </c>
      <c r="C740" s="10">
        <v>1</v>
      </c>
      <c r="D740" s="10">
        <v>0</v>
      </c>
      <c r="E740" s="5">
        <v>0</v>
      </c>
      <c r="F740" s="1" t="s">
        <v>14</v>
      </c>
      <c r="G740" s="10" t="s">
        <v>186</v>
      </c>
      <c r="H740" s="10" t="s">
        <v>187</v>
      </c>
    </row>
    <row r="741" spans="1:11" x14ac:dyDescent="0.25">
      <c r="A741" s="10">
        <v>3010902</v>
      </c>
      <c r="B741" s="1">
        <v>301009</v>
      </c>
      <c r="C741" s="10">
        <v>1</v>
      </c>
      <c r="D741" s="10">
        <v>10</v>
      </c>
      <c r="E741" s="5" t="s">
        <v>140</v>
      </c>
      <c r="F741" s="1" t="s">
        <v>14</v>
      </c>
      <c r="G741" s="10" t="s">
        <v>186</v>
      </c>
      <c r="H741" s="10" t="s">
        <v>188</v>
      </c>
    </row>
    <row r="742" spans="1:11" x14ac:dyDescent="0.25">
      <c r="A742" s="10">
        <v>3010903</v>
      </c>
      <c r="B742" s="1">
        <v>301009</v>
      </c>
      <c r="C742" s="10">
        <v>2</v>
      </c>
      <c r="D742" s="10">
        <v>50</v>
      </c>
      <c r="E742" s="5" t="s">
        <v>140</v>
      </c>
      <c r="F742" s="1" t="s">
        <v>14</v>
      </c>
      <c r="G742" s="10" t="s">
        <v>186</v>
      </c>
      <c r="H742" s="10" t="s">
        <v>189</v>
      </c>
    </row>
    <row r="743" spans="1:11" x14ac:dyDescent="0.25">
      <c r="A743" s="10">
        <v>3010904</v>
      </c>
      <c r="B743" s="1">
        <v>301009</v>
      </c>
      <c r="C743" s="10">
        <v>3</v>
      </c>
      <c r="D743" s="10">
        <v>100</v>
      </c>
      <c r="E743" s="5" t="s">
        <v>140</v>
      </c>
      <c r="F743" s="1" t="s">
        <v>14</v>
      </c>
      <c r="G743" s="10" t="s">
        <v>186</v>
      </c>
      <c r="H743" s="10" t="s">
        <v>190</v>
      </c>
    </row>
    <row r="744" spans="1:11" x14ac:dyDescent="0.25">
      <c r="A744" s="10">
        <v>3010905</v>
      </c>
      <c r="B744" s="1">
        <v>301009</v>
      </c>
      <c r="C744" s="10">
        <v>4</v>
      </c>
      <c r="D744" s="10">
        <v>200</v>
      </c>
      <c r="E744" s="5" t="s">
        <v>140</v>
      </c>
      <c r="F744" s="1" t="s">
        <v>14</v>
      </c>
      <c r="G744" s="10" t="s">
        <v>186</v>
      </c>
      <c r="H744" s="10" t="s">
        <v>191</v>
      </c>
    </row>
    <row r="745" spans="1:11" x14ac:dyDescent="0.25">
      <c r="A745" s="10">
        <v>3010906</v>
      </c>
      <c r="B745" s="1">
        <v>301009</v>
      </c>
      <c r="C745" s="10">
        <v>5</v>
      </c>
      <c r="D745" s="10">
        <v>300</v>
      </c>
      <c r="E745" s="5" t="s">
        <v>140</v>
      </c>
      <c r="F745" s="1" t="s">
        <v>14</v>
      </c>
      <c r="G745" s="10" t="s">
        <v>186</v>
      </c>
      <c r="H745" s="10" t="s">
        <v>192</v>
      </c>
    </row>
    <row r="746" spans="1:11" x14ac:dyDescent="0.25">
      <c r="A746" s="10">
        <v>3010907</v>
      </c>
      <c r="B746" s="1">
        <v>301009</v>
      </c>
      <c r="C746" s="10">
        <v>6</v>
      </c>
      <c r="D746" s="10">
        <v>400</v>
      </c>
      <c r="E746" s="5" t="s">
        <v>140</v>
      </c>
      <c r="F746" s="1" t="s">
        <v>14</v>
      </c>
      <c r="G746" s="10" t="s">
        <v>186</v>
      </c>
      <c r="H746" s="10" t="s">
        <v>193</v>
      </c>
    </row>
    <row r="747" spans="1:11" x14ac:dyDescent="0.25">
      <c r="A747" s="25">
        <v>3010908</v>
      </c>
      <c r="B747" s="1">
        <v>301009</v>
      </c>
      <c r="C747" s="25">
        <v>7</v>
      </c>
      <c r="D747" s="25">
        <v>500</v>
      </c>
      <c r="E747" s="5" t="s">
        <v>140</v>
      </c>
      <c r="F747" s="1" t="s">
        <v>14</v>
      </c>
      <c r="G747" s="25" t="s">
        <v>186</v>
      </c>
      <c r="H747" s="25" t="s">
        <v>194</v>
      </c>
    </row>
    <row r="748" spans="1:11" x14ac:dyDescent="0.25">
      <c r="A748" s="25">
        <v>3010909</v>
      </c>
      <c r="B748" s="1">
        <v>301009</v>
      </c>
      <c r="C748" s="25">
        <v>8</v>
      </c>
      <c r="D748" s="25">
        <v>1000</v>
      </c>
      <c r="E748" s="5" t="s">
        <v>140</v>
      </c>
      <c r="F748" s="1" t="s">
        <v>14</v>
      </c>
      <c r="G748" s="25" t="s">
        <v>186</v>
      </c>
      <c r="H748" s="25" t="s">
        <v>194</v>
      </c>
    </row>
    <row r="749" spans="1:11" x14ac:dyDescent="0.25">
      <c r="A749" s="25">
        <v>3010910</v>
      </c>
      <c r="B749" s="1">
        <v>301009</v>
      </c>
      <c r="C749" s="25">
        <v>9</v>
      </c>
      <c r="D749" s="25">
        <v>1100</v>
      </c>
      <c r="E749" s="5" t="s">
        <v>140</v>
      </c>
      <c r="F749" s="1" t="s">
        <v>14</v>
      </c>
      <c r="G749" s="25" t="s">
        <v>186</v>
      </c>
      <c r="H749" s="25" t="s">
        <v>194</v>
      </c>
    </row>
    <row r="750" spans="1:11" x14ac:dyDescent="0.25">
      <c r="A750" s="1">
        <f>A749+1</f>
        <v>3010911</v>
      </c>
      <c r="B750" s="1">
        <f>B749</f>
        <v>301009</v>
      </c>
      <c r="C750" s="1">
        <f>C749+1</f>
        <v>10</v>
      </c>
      <c r="D750" s="1">
        <f>D749+100</f>
        <v>1200</v>
      </c>
      <c r="E750" s="5" t="str">
        <f>IF(J750=0,J750,J750&amp;K750)</f>
        <v>速度+10</v>
      </c>
      <c r="F750" s="1" t="str">
        <f>F749</f>
        <v>1+0;</v>
      </c>
      <c r="G750" s="1" t="str">
        <f>G749</f>
        <v>燕纵步</v>
      </c>
      <c r="J750" s="36" t="s">
        <v>140</v>
      </c>
      <c r="K750" s="5"/>
    </row>
    <row r="751" spans="1:11" x14ac:dyDescent="0.25">
      <c r="A751" s="26">
        <v>3011001</v>
      </c>
      <c r="B751" s="1">
        <v>301010</v>
      </c>
      <c r="C751" s="26">
        <v>1</v>
      </c>
      <c r="D751" s="26">
        <v>0</v>
      </c>
      <c r="E751" s="5">
        <v>0</v>
      </c>
      <c r="F751" s="1" t="s">
        <v>14</v>
      </c>
      <c r="G751" s="26" t="s">
        <v>195</v>
      </c>
      <c r="H751" s="26" t="s">
        <v>196</v>
      </c>
    </row>
    <row r="752" spans="1:11" x14ac:dyDescent="0.25">
      <c r="A752" s="27">
        <v>3011002</v>
      </c>
      <c r="B752" s="1">
        <v>301010</v>
      </c>
      <c r="C752" s="27">
        <v>1</v>
      </c>
      <c r="D752" s="27">
        <v>10</v>
      </c>
      <c r="E752" s="5" t="s">
        <v>140</v>
      </c>
      <c r="F752" s="1" t="s">
        <v>14</v>
      </c>
      <c r="G752" s="27" t="s">
        <v>195</v>
      </c>
      <c r="H752" s="27" t="s">
        <v>197</v>
      </c>
    </row>
    <row r="753" spans="1:11" x14ac:dyDescent="0.25">
      <c r="A753" s="27">
        <v>3011003</v>
      </c>
      <c r="B753" s="1">
        <v>301010</v>
      </c>
      <c r="C753" s="27">
        <v>2</v>
      </c>
      <c r="D753" s="27">
        <v>50</v>
      </c>
      <c r="E753" s="5" t="s">
        <v>140</v>
      </c>
      <c r="F753" s="1" t="s">
        <v>14</v>
      </c>
      <c r="G753" s="27" t="s">
        <v>195</v>
      </c>
      <c r="H753" s="27" t="s">
        <v>198</v>
      </c>
    </row>
    <row r="754" spans="1:11" x14ac:dyDescent="0.25">
      <c r="A754" s="27">
        <v>3011004</v>
      </c>
      <c r="B754" s="1">
        <v>301010</v>
      </c>
      <c r="C754" s="27">
        <v>3</v>
      </c>
      <c r="D754" s="27">
        <v>100</v>
      </c>
      <c r="E754" s="5" t="s">
        <v>140</v>
      </c>
      <c r="F754" s="1" t="s">
        <v>14</v>
      </c>
      <c r="G754" s="27" t="s">
        <v>195</v>
      </c>
      <c r="H754" s="27" t="s">
        <v>199</v>
      </c>
    </row>
    <row r="755" spans="1:11" x14ac:dyDescent="0.25">
      <c r="A755" s="27">
        <v>3011005</v>
      </c>
      <c r="B755" s="1">
        <v>301010</v>
      </c>
      <c r="C755" s="27">
        <v>4</v>
      </c>
      <c r="D755" s="27">
        <v>200</v>
      </c>
      <c r="E755" s="5" t="s">
        <v>140</v>
      </c>
      <c r="F755" s="1" t="s">
        <v>14</v>
      </c>
      <c r="G755" s="27" t="s">
        <v>195</v>
      </c>
      <c r="H755" s="27" t="s">
        <v>200</v>
      </c>
    </row>
    <row r="756" spans="1:11" x14ac:dyDescent="0.25">
      <c r="A756" s="26">
        <v>3011006</v>
      </c>
      <c r="B756" s="1">
        <v>301010</v>
      </c>
      <c r="C756" s="26">
        <v>5</v>
      </c>
      <c r="D756" s="26">
        <v>300</v>
      </c>
      <c r="E756" s="5" t="s">
        <v>140</v>
      </c>
      <c r="F756" s="1" t="s">
        <v>14</v>
      </c>
      <c r="G756" s="26" t="s">
        <v>195</v>
      </c>
      <c r="H756" s="26" t="s">
        <v>201</v>
      </c>
    </row>
    <row r="757" spans="1:11" x14ac:dyDescent="0.25">
      <c r="A757" s="26">
        <v>3011007</v>
      </c>
      <c r="B757" s="1">
        <v>301010</v>
      </c>
      <c r="C757" s="26">
        <v>6</v>
      </c>
      <c r="D757" s="26">
        <v>400</v>
      </c>
      <c r="E757" s="5" t="s">
        <v>140</v>
      </c>
      <c r="F757" s="1" t="s">
        <v>14</v>
      </c>
      <c r="G757" s="26" t="s">
        <v>195</v>
      </c>
      <c r="H757" s="26" t="s">
        <v>202</v>
      </c>
    </row>
    <row r="758" spans="1:11" x14ac:dyDescent="0.25">
      <c r="A758" s="27">
        <v>3011008</v>
      </c>
      <c r="B758" s="1">
        <v>301010</v>
      </c>
      <c r="C758" s="27">
        <v>7</v>
      </c>
      <c r="D758" s="27">
        <v>500</v>
      </c>
      <c r="E758" s="5" t="s">
        <v>140</v>
      </c>
      <c r="F758" s="1" t="s">
        <v>14</v>
      </c>
      <c r="G758" s="27" t="s">
        <v>195</v>
      </c>
      <c r="H758" s="27" t="s">
        <v>203</v>
      </c>
    </row>
    <row r="759" spans="1:11" x14ac:dyDescent="0.25">
      <c r="A759" s="27">
        <v>3011009</v>
      </c>
      <c r="B759" s="1">
        <v>301010</v>
      </c>
      <c r="C759" s="27">
        <v>8</v>
      </c>
      <c r="D759" s="27">
        <v>1000</v>
      </c>
      <c r="E759" s="5" t="s">
        <v>140</v>
      </c>
      <c r="F759" s="1" t="s">
        <v>14</v>
      </c>
      <c r="G759" s="27" t="s">
        <v>195</v>
      </c>
      <c r="H759" s="27" t="s">
        <v>203</v>
      </c>
    </row>
    <row r="760" spans="1:11" x14ac:dyDescent="0.25">
      <c r="A760" s="27">
        <v>3011010</v>
      </c>
      <c r="B760" s="1">
        <v>301010</v>
      </c>
      <c r="C760" s="27">
        <v>9</v>
      </c>
      <c r="D760" s="27">
        <v>1100</v>
      </c>
      <c r="E760" s="5" t="s">
        <v>140</v>
      </c>
      <c r="F760" s="1" t="s">
        <v>14</v>
      </c>
      <c r="G760" s="27" t="s">
        <v>195</v>
      </c>
      <c r="H760" s="27" t="s">
        <v>203</v>
      </c>
    </row>
    <row r="761" spans="1:11" x14ac:dyDescent="0.25">
      <c r="A761" s="1">
        <f>A760+1</f>
        <v>3011011</v>
      </c>
      <c r="B761" s="1">
        <f>B760</f>
        <v>301010</v>
      </c>
      <c r="C761" s="1">
        <f>C760+1</f>
        <v>10</v>
      </c>
      <c r="D761" s="1">
        <f>D760+100</f>
        <v>1200</v>
      </c>
      <c r="E761" s="5" t="str">
        <f>IF(J761=0,J761,J761&amp;K761)</f>
        <v>速度+10</v>
      </c>
      <c r="F761" s="1" t="str">
        <f>F760</f>
        <v>1+0;</v>
      </c>
      <c r="G761" s="1" t="str">
        <f>G760</f>
        <v>长亭远寄</v>
      </c>
      <c r="J761" s="36" t="s">
        <v>140</v>
      </c>
      <c r="K761" s="5"/>
    </row>
    <row r="762" spans="1:11" x14ac:dyDescent="0.25">
      <c r="A762" s="28">
        <v>3011101</v>
      </c>
      <c r="B762" s="1">
        <v>301012</v>
      </c>
      <c r="C762" s="28">
        <v>1</v>
      </c>
      <c r="D762" s="28">
        <v>0</v>
      </c>
      <c r="E762" s="5">
        <v>0</v>
      </c>
      <c r="F762" s="1" t="s">
        <v>14</v>
      </c>
      <c r="G762" s="28" t="s">
        <v>204</v>
      </c>
      <c r="H762" s="28" t="s">
        <v>205</v>
      </c>
    </row>
    <row r="763" spans="1:11" x14ac:dyDescent="0.25">
      <c r="A763" s="29">
        <v>3011102</v>
      </c>
      <c r="B763" s="1">
        <v>301012</v>
      </c>
      <c r="C763" s="29">
        <v>1</v>
      </c>
      <c r="D763" s="29">
        <v>10</v>
      </c>
      <c r="E763" s="5" t="s">
        <v>140</v>
      </c>
      <c r="F763" s="1" t="s">
        <v>14</v>
      </c>
      <c r="G763" s="29" t="s">
        <v>204</v>
      </c>
      <c r="H763" s="29" t="s">
        <v>206</v>
      </c>
    </row>
    <row r="764" spans="1:11" x14ac:dyDescent="0.25">
      <c r="A764" s="29">
        <v>3011103</v>
      </c>
      <c r="B764" s="1">
        <v>301012</v>
      </c>
      <c r="C764" s="29">
        <v>2</v>
      </c>
      <c r="D764" s="29">
        <v>50</v>
      </c>
      <c r="E764" s="5" t="s">
        <v>140</v>
      </c>
      <c r="F764" s="1" t="s">
        <v>14</v>
      </c>
      <c r="G764" s="29" t="s">
        <v>204</v>
      </c>
      <c r="H764" s="29" t="s">
        <v>207</v>
      </c>
    </row>
    <row r="765" spans="1:11" x14ac:dyDescent="0.25">
      <c r="A765" s="29">
        <v>3011104</v>
      </c>
      <c r="B765" s="1">
        <v>301012</v>
      </c>
      <c r="C765" s="29">
        <v>3</v>
      </c>
      <c r="D765" s="29">
        <v>100</v>
      </c>
      <c r="E765" s="5" t="s">
        <v>140</v>
      </c>
      <c r="F765" s="1" t="s">
        <v>14</v>
      </c>
      <c r="G765" s="29" t="s">
        <v>204</v>
      </c>
      <c r="H765" s="29" t="s">
        <v>208</v>
      </c>
    </row>
    <row r="766" spans="1:11" x14ac:dyDescent="0.25">
      <c r="A766" s="29">
        <v>3011105</v>
      </c>
      <c r="B766" s="1">
        <v>301012</v>
      </c>
      <c r="C766" s="29">
        <v>4</v>
      </c>
      <c r="D766" s="29">
        <v>200</v>
      </c>
      <c r="E766" s="5" t="s">
        <v>140</v>
      </c>
      <c r="F766" s="1" t="s">
        <v>14</v>
      </c>
      <c r="G766" s="29" t="s">
        <v>204</v>
      </c>
      <c r="H766" s="29" t="s">
        <v>209</v>
      </c>
    </row>
    <row r="767" spans="1:11" x14ac:dyDescent="0.25">
      <c r="A767" s="29">
        <v>3011106</v>
      </c>
      <c r="B767" s="1">
        <v>301012</v>
      </c>
      <c r="C767" s="29">
        <v>5</v>
      </c>
      <c r="D767" s="29">
        <v>300</v>
      </c>
      <c r="E767" s="5" t="s">
        <v>140</v>
      </c>
      <c r="F767" s="1" t="s">
        <v>14</v>
      </c>
      <c r="G767" s="29" t="s">
        <v>204</v>
      </c>
      <c r="H767" s="29" t="s">
        <v>210</v>
      </c>
    </row>
    <row r="768" spans="1:11" x14ac:dyDescent="0.25">
      <c r="A768" s="29">
        <v>3011107</v>
      </c>
      <c r="B768" s="1">
        <v>301012</v>
      </c>
      <c r="C768" s="29">
        <v>6</v>
      </c>
      <c r="D768" s="29">
        <v>400</v>
      </c>
      <c r="E768" s="5" t="s">
        <v>140</v>
      </c>
      <c r="F768" s="1" t="s">
        <v>14</v>
      </c>
      <c r="G768" s="29" t="s">
        <v>204</v>
      </c>
      <c r="H768" s="29" t="s">
        <v>211</v>
      </c>
    </row>
    <row r="769" spans="1:11" x14ac:dyDescent="0.25">
      <c r="A769" s="29">
        <v>3011108</v>
      </c>
      <c r="B769" s="1">
        <v>301012</v>
      </c>
      <c r="C769" s="29">
        <v>7</v>
      </c>
      <c r="D769" s="29">
        <v>500</v>
      </c>
      <c r="E769" s="5" t="s">
        <v>140</v>
      </c>
      <c r="F769" s="1" t="s">
        <v>14</v>
      </c>
      <c r="G769" s="29" t="s">
        <v>204</v>
      </c>
      <c r="H769" s="29" t="s">
        <v>212</v>
      </c>
    </row>
    <row r="770" spans="1:11" x14ac:dyDescent="0.25">
      <c r="A770" s="29">
        <v>3011109</v>
      </c>
      <c r="B770" s="1">
        <v>301012</v>
      </c>
      <c r="C770" s="29">
        <v>8</v>
      </c>
      <c r="D770" s="29">
        <v>1000</v>
      </c>
      <c r="E770" s="5" t="s">
        <v>140</v>
      </c>
      <c r="F770" s="1" t="s">
        <v>14</v>
      </c>
      <c r="G770" s="29" t="s">
        <v>204</v>
      </c>
      <c r="H770" s="29" t="s">
        <v>212</v>
      </c>
    </row>
    <row r="771" spans="1:11" x14ac:dyDescent="0.25">
      <c r="A771" s="29">
        <v>3011110</v>
      </c>
      <c r="B771" s="1">
        <v>301012</v>
      </c>
      <c r="C771" s="29">
        <v>9</v>
      </c>
      <c r="D771" s="29">
        <v>1100</v>
      </c>
      <c r="E771" s="5" t="s">
        <v>140</v>
      </c>
      <c r="F771" s="1" t="s">
        <v>14</v>
      </c>
      <c r="G771" s="29" t="s">
        <v>204</v>
      </c>
      <c r="H771" s="29" t="s">
        <v>212</v>
      </c>
    </row>
    <row r="772" spans="1:11" x14ac:dyDescent="0.25">
      <c r="A772" s="1">
        <f>A771+1</f>
        <v>3011111</v>
      </c>
      <c r="B772" s="1">
        <f>B771</f>
        <v>301012</v>
      </c>
      <c r="C772" s="1">
        <f>C771+1</f>
        <v>10</v>
      </c>
      <c r="D772" s="1">
        <f>D771+100</f>
        <v>1200</v>
      </c>
      <c r="E772" s="5" t="str">
        <f>IF(J772=0,J772,J772&amp;K772)</f>
        <v>速度+10</v>
      </c>
      <c r="F772" s="1" t="str">
        <f>F771</f>
        <v>1+0;</v>
      </c>
      <c r="G772" s="1" t="str">
        <f>G771</f>
        <v>巫蟒堕月</v>
      </c>
      <c r="J772" s="36" t="s">
        <v>140</v>
      </c>
      <c r="K772" s="5"/>
    </row>
    <row r="773" spans="1:11" x14ac:dyDescent="0.25">
      <c r="A773" s="30">
        <v>3011201</v>
      </c>
      <c r="B773" s="1">
        <v>301011</v>
      </c>
      <c r="C773" s="30">
        <v>1</v>
      </c>
      <c r="D773" s="30">
        <v>0</v>
      </c>
      <c r="E773" s="5">
        <v>0</v>
      </c>
      <c r="F773" s="1" t="s">
        <v>14</v>
      </c>
      <c r="G773" s="30" t="s">
        <v>213</v>
      </c>
      <c r="H773" s="30" t="s">
        <v>214</v>
      </c>
    </row>
    <row r="774" spans="1:11" x14ac:dyDescent="0.25">
      <c r="A774" s="31">
        <v>3011202</v>
      </c>
      <c r="B774" s="1">
        <v>301011</v>
      </c>
      <c r="C774" s="31">
        <v>1</v>
      </c>
      <c r="D774" s="31">
        <v>10</v>
      </c>
      <c r="E774" s="5" t="s">
        <v>140</v>
      </c>
      <c r="F774" s="1" t="s">
        <v>14</v>
      </c>
      <c r="G774" s="31" t="s">
        <v>213</v>
      </c>
      <c r="H774" s="31" t="s">
        <v>215</v>
      </c>
    </row>
    <row r="775" spans="1:11" x14ac:dyDescent="0.25">
      <c r="A775" s="31">
        <v>3011203</v>
      </c>
      <c r="B775" s="1">
        <v>301011</v>
      </c>
      <c r="C775" s="31">
        <v>2</v>
      </c>
      <c r="D775" s="31">
        <v>50</v>
      </c>
      <c r="E775" s="5" t="s">
        <v>140</v>
      </c>
      <c r="F775" s="1" t="s">
        <v>14</v>
      </c>
      <c r="G775" s="31" t="s">
        <v>213</v>
      </c>
      <c r="H775" s="31" t="s">
        <v>216</v>
      </c>
    </row>
    <row r="776" spans="1:11" x14ac:dyDescent="0.25">
      <c r="A776" s="31">
        <v>3011204</v>
      </c>
      <c r="B776" s="1">
        <v>301011</v>
      </c>
      <c r="C776" s="31">
        <v>3</v>
      </c>
      <c r="D776" s="31">
        <v>100</v>
      </c>
      <c r="E776" s="5" t="s">
        <v>140</v>
      </c>
      <c r="F776" s="1" t="s">
        <v>14</v>
      </c>
      <c r="G776" s="31" t="s">
        <v>213</v>
      </c>
      <c r="H776" s="31" t="s">
        <v>217</v>
      </c>
    </row>
    <row r="777" spans="1:11" x14ac:dyDescent="0.25">
      <c r="A777" s="31">
        <v>3011205</v>
      </c>
      <c r="B777" s="1">
        <v>301011</v>
      </c>
      <c r="C777" s="31">
        <v>4</v>
      </c>
      <c r="D777" s="31">
        <v>200</v>
      </c>
      <c r="E777" s="5" t="s">
        <v>140</v>
      </c>
      <c r="F777" s="1" t="s">
        <v>14</v>
      </c>
      <c r="G777" s="31" t="s">
        <v>213</v>
      </c>
      <c r="H777" s="31" t="s">
        <v>218</v>
      </c>
    </row>
    <row r="778" spans="1:11" x14ac:dyDescent="0.25">
      <c r="A778" s="31">
        <v>3011206</v>
      </c>
      <c r="B778" s="1">
        <v>301011</v>
      </c>
      <c r="C778" s="31">
        <v>5</v>
      </c>
      <c r="D778" s="31">
        <v>300</v>
      </c>
      <c r="E778" s="5" t="s">
        <v>140</v>
      </c>
      <c r="F778" s="1" t="s">
        <v>14</v>
      </c>
      <c r="G778" s="31" t="s">
        <v>213</v>
      </c>
      <c r="H778" s="31" t="s">
        <v>219</v>
      </c>
    </row>
    <row r="779" spans="1:11" x14ac:dyDescent="0.25">
      <c r="A779" s="31">
        <v>3011207</v>
      </c>
      <c r="B779" s="1">
        <v>301011</v>
      </c>
      <c r="C779" s="31">
        <v>6</v>
      </c>
      <c r="D779" s="31">
        <v>400</v>
      </c>
      <c r="E779" s="5" t="s">
        <v>140</v>
      </c>
      <c r="F779" s="1" t="s">
        <v>14</v>
      </c>
      <c r="G779" s="31" t="s">
        <v>213</v>
      </c>
      <c r="H779" s="31" t="s">
        <v>220</v>
      </c>
    </row>
    <row r="780" spans="1:11" x14ac:dyDescent="0.25">
      <c r="A780" s="31">
        <v>3011208</v>
      </c>
      <c r="B780" s="1">
        <v>301011</v>
      </c>
      <c r="C780" s="31">
        <v>7</v>
      </c>
      <c r="D780" s="31">
        <v>500</v>
      </c>
      <c r="E780" s="5" t="s">
        <v>140</v>
      </c>
      <c r="F780" s="1" t="s">
        <v>14</v>
      </c>
      <c r="G780" s="31" t="s">
        <v>213</v>
      </c>
      <c r="H780" s="31" t="s">
        <v>221</v>
      </c>
    </row>
    <row r="781" spans="1:11" x14ac:dyDescent="0.25">
      <c r="A781" s="31">
        <v>3011209</v>
      </c>
      <c r="B781" s="1">
        <v>301011</v>
      </c>
      <c r="C781" s="31">
        <v>8</v>
      </c>
      <c r="D781" s="31">
        <v>1000</v>
      </c>
      <c r="E781" s="5" t="s">
        <v>140</v>
      </c>
      <c r="F781" s="1" t="s">
        <v>14</v>
      </c>
      <c r="G781" s="31" t="s">
        <v>213</v>
      </c>
      <c r="H781" s="31" t="s">
        <v>221</v>
      </c>
    </row>
    <row r="782" spans="1:11" x14ac:dyDescent="0.25">
      <c r="A782" s="31">
        <v>3011210</v>
      </c>
      <c r="B782" s="1">
        <v>301011</v>
      </c>
      <c r="C782" s="31">
        <v>9</v>
      </c>
      <c r="D782" s="31">
        <v>1100</v>
      </c>
      <c r="E782" s="5" t="s">
        <v>140</v>
      </c>
      <c r="F782" s="1" t="s">
        <v>14</v>
      </c>
      <c r="G782" s="31" t="s">
        <v>213</v>
      </c>
      <c r="H782" s="31" t="s">
        <v>221</v>
      </c>
    </row>
    <row r="783" spans="1:11" x14ac:dyDescent="0.25">
      <c r="A783" s="1">
        <f>A782+1</f>
        <v>3011211</v>
      </c>
      <c r="B783" s="1">
        <f>B782</f>
        <v>301011</v>
      </c>
      <c r="C783" s="1">
        <f>C782+1</f>
        <v>10</v>
      </c>
      <c r="D783" s="1">
        <f>D782+100</f>
        <v>1200</v>
      </c>
      <c r="E783" s="5" t="str">
        <f>IF(J783=0,J783,J783&amp;K783)</f>
        <v>速度+10</v>
      </c>
      <c r="F783" s="1" t="str">
        <f>F782</f>
        <v>1+0;</v>
      </c>
      <c r="G783" s="1" t="str">
        <f>G782</f>
        <v>凌波微步</v>
      </c>
      <c r="J783" s="36" t="s">
        <v>140</v>
      </c>
      <c r="K783" s="5"/>
    </row>
    <row r="784" spans="1:11" x14ac:dyDescent="0.25">
      <c r="A784" s="32">
        <v>3011301</v>
      </c>
      <c r="B784" s="1">
        <v>301013</v>
      </c>
      <c r="C784" s="32">
        <v>1</v>
      </c>
      <c r="D784" s="32">
        <v>0</v>
      </c>
      <c r="E784" s="5">
        <v>0</v>
      </c>
      <c r="F784" s="1" t="s">
        <v>14</v>
      </c>
      <c r="G784" s="32" t="s">
        <v>222</v>
      </c>
      <c r="H784" s="32" t="s">
        <v>223</v>
      </c>
    </row>
    <row r="785" spans="1:11" x14ac:dyDescent="0.25">
      <c r="A785" s="33">
        <v>3011302</v>
      </c>
      <c r="B785" s="1">
        <v>301013</v>
      </c>
      <c r="C785" s="33">
        <v>1</v>
      </c>
      <c r="D785" s="33">
        <v>10</v>
      </c>
      <c r="E785" s="5" t="s">
        <v>140</v>
      </c>
      <c r="F785" s="1" t="s">
        <v>14</v>
      </c>
      <c r="G785" s="33" t="s">
        <v>222</v>
      </c>
      <c r="H785" s="33" t="s">
        <v>224</v>
      </c>
    </row>
    <row r="786" spans="1:11" x14ac:dyDescent="0.25">
      <c r="A786" s="33">
        <v>3011303</v>
      </c>
      <c r="B786" s="1">
        <v>301013</v>
      </c>
      <c r="C786" s="33">
        <v>2</v>
      </c>
      <c r="D786" s="33">
        <v>50</v>
      </c>
      <c r="E786" s="5" t="s">
        <v>140</v>
      </c>
      <c r="F786" s="1" t="s">
        <v>14</v>
      </c>
      <c r="G786" s="33" t="s">
        <v>222</v>
      </c>
      <c r="H786" s="33" t="s">
        <v>225</v>
      </c>
    </row>
    <row r="787" spans="1:11" x14ac:dyDescent="0.25">
      <c r="A787" s="33">
        <v>3011304</v>
      </c>
      <c r="B787" s="1">
        <v>301013</v>
      </c>
      <c r="C787" s="33">
        <v>3</v>
      </c>
      <c r="D787" s="33">
        <v>100</v>
      </c>
      <c r="E787" s="5" t="s">
        <v>140</v>
      </c>
      <c r="F787" s="1" t="s">
        <v>14</v>
      </c>
      <c r="G787" s="33" t="s">
        <v>222</v>
      </c>
      <c r="H787" s="33" t="s">
        <v>226</v>
      </c>
    </row>
    <row r="788" spans="1:11" x14ac:dyDescent="0.25">
      <c r="A788" s="33">
        <v>3011305</v>
      </c>
      <c r="B788" s="1">
        <v>301013</v>
      </c>
      <c r="C788" s="33">
        <v>4</v>
      </c>
      <c r="D788" s="33">
        <v>200</v>
      </c>
      <c r="E788" s="5" t="s">
        <v>140</v>
      </c>
      <c r="F788" s="1" t="s">
        <v>14</v>
      </c>
      <c r="G788" s="33" t="s">
        <v>222</v>
      </c>
      <c r="H788" s="33" t="s">
        <v>227</v>
      </c>
    </row>
    <row r="789" spans="1:11" x14ac:dyDescent="0.25">
      <c r="A789" s="32">
        <v>3011306</v>
      </c>
      <c r="B789" s="1">
        <v>301013</v>
      </c>
      <c r="C789" s="32">
        <v>5</v>
      </c>
      <c r="D789" s="32">
        <v>300</v>
      </c>
      <c r="E789" s="5" t="s">
        <v>140</v>
      </c>
      <c r="F789" s="1" t="s">
        <v>14</v>
      </c>
      <c r="G789" s="32" t="s">
        <v>222</v>
      </c>
      <c r="H789" s="32" t="s">
        <v>228</v>
      </c>
    </row>
    <row r="790" spans="1:11" x14ac:dyDescent="0.25">
      <c r="A790" s="33">
        <v>3011307</v>
      </c>
      <c r="B790" s="1">
        <v>301013</v>
      </c>
      <c r="C790" s="33">
        <v>6</v>
      </c>
      <c r="D790" s="33">
        <v>400</v>
      </c>
      <c r="E790" s="5" t="s">
        <v>140</v>
      </c>
      <c r="F790" s="1" t="s">
        <v>14</v>
      </c>
      <c r="G790" s="33" t="s">
        <v>222</v>
      </c>
      <c r="H790" s="33" t="s">
        <v>229</v>
      </c>
    </row>
    <row r="791" spans="1:11" x14ac:dyDescent="0.25">
      <c r="A791" s="33">
        <v>3011308</v>
      </c>
      <c r="B791" s="1">
        <v>301013</v>
      </c>
      <c r="C791" s="33">
        <v>7</v>
      </c>
      <c r="D791" s="33">
        <v>500</v>
      </c>
      <c r="E791" s="5" t="s">
        <v>140</v>
      </c>
      <c r="F791" s="1" t="s">
        <v>14</v>
      </c>
      <c r="G791" s="33" t="s">
        <v>222</v>
      </c>
      <c r="H791" s="33" t="s">
        <v>230</v>
      </c>
    </row>
    <row r="792" spans="1:11" x14ac:dyDescent="0.25">
      <c r="A792" s="33">
        <v>3011309</v>
      </c>
      <c r="B792" s="1">
        <v>301013</v>
      </c>
      <c r="C792" s="33">
        <v>8</v>
      </c>
      <c r="D792" s="33">
        <v>1000</v>
      </c>
      <c r="E792" s="5" t="s">
        <v>140</v>
      </c>
      <c r="F792" s="1" t="s">
        <v>14</v>
      </c>
      <c r="G792" s="33" t="s">
        <v>222</v>
      </c>
      <c r="H792" s="33" t="s">
        <v>230</v>
      </c>
    </row>
    <row r="793" spans="1:11" x14ac:dyDescent="0.25">
      <c r="A793" s="33">
        <v>3011310</v>
      </c>
      <c r="B793" s="1">
        <v>301013</v>
      </c>
      <c r="C793" s="33">
        <v>9</v>
      </c>
      <c r="D793" s="33">
        <v>1100</v>
      </c>
      <c r="E793" s="5" t="s">
        <v>140</v>
      </c>
      <c r="F793" s="1" t="s">
        <v>14</v>
      </c>
      <c r="G793" s="33" t="s">
        <v>222</v>
      </c>
      <c r="H793" s="33" t="s">
        <v>230</v>
      </c>
    </row>
    <row r="794" spans="1:11" x14ac:dyDescent="0.25">
      <c r="A794" s="1">
        <f>A793+1</f>
        <v>3011311</v>
      </c>
      <c r="B794" s="1">
        <f>B793</f>
        <v>301013</v>
      </c>
      <c r="C794" s="1">
        <f>C793+1</f>
        <v>10</v>
      </c>
      <c r="D794" s="1">
        <f>D793+100</f>
        <v>1200</v>
      </c>
      <c r="E794" s="5" t="str">
        <f>IF(J794=0,J794,J794&amp;K794)</f>
        <v>速度+10</v>
      </c>
      <c r="F794" s="1" t="str">
        <f>F793</f>
        <v>1+0;</v>
      </c>
      <c r="G794" s="1" t="str">
        <f>G793</f>
        <v>紫乌啸凤图</v>
      </c>
      <c r="J794" s="36" t="s">
        <v>140</v>
      </c>
      <c r="K794" s="5"/>
    </row>
    <row r="795" spans="1:11" x14ac:dyDescent="0.25">
      <c r="A795" s="34">
        <v>3011401</v>
      </c>
      <c r="B795" s="1">
        <v>301014</v>
      </c>
      <c r="C795" s="34">
        <v>1</v>
      </c>
      <c r="D795" s="34">
        <v>0</v>
      </c>
      <c r="E795" s="5">
        <v>0</v>
      </c>
      <c r="F795" s="1" t="s">
        <v>14</v>
      </c>
      <c r="G795" s="34" t="s">
        <v>231</v>
      </c>
      <c r="H795" s="34" t="s">
        <v>232</v>
      </c>
    </row>
    <row r="796" spans="1:11" x14ac:dyDescent="0.25">
      <c r="A796" s="34">
        <v>3011402</v>
      </c>
      <c r="B796" s="1">
        <v>301014</v>
      </c>
      <c r="C796" s="34">
        <v>1</v>
      </c>
      <c r="D796" s="34">
        <v>10</v>
      </c>
      <c r="E796" s="5" t="s">
        <v>140</v>
      </c>
      <c r="F796" s="1" t="s">
        <v>14</v>
      </c>
      <c r="G796" s="34" t="s">
        <v>231</v>
      </c>
      <c r="H796" s="34" t="s">
        <v>233</v>
      </c>
    </row>
    <row r="797" spans="1:11" x14ac:dyDescent="0.25">
      <c r="A797" s="34">
        <v>3011403</v>
      </c>
      <c r="B797" s="1">
        <v>301014</v>
      </c>
      <c r="C797" s="34">
        <v>2</v>
      </c>
      <c r="D797" s="34">
        <v>50</v>
      </c>
      <c r="E797" s="5" t="s">
        <v>140</v>
      </c>
      <c r="F797" s="1" t="s">
        <v>14</v>
      </c>
      <c r="G797" s="34" t="s">
        <v>231</v>
      </c>
      <c r="H797" s="34" t="s">
        <v>234</v>
      </c>
    </row>
    <row r="798" spans="1:11" x14ac:dyDescent="0.25">
      <c r="A798" s="34">
        <v>3011404</v>
      </c>
      <c r="B798" s="1">
        <v>301014</v>
      </c>
      <c r="C798" s="34">
        <v>3</v>
      </c>
      <c r="D798" s="34">
        <v>100</v>
      </c>
      <c r="E798" s="5" t="s">
        <v>140</v>
      </c>
      <c r="F798" s="1" t="s">
        <v>14</v>
      </c>
      <c r="G798" s="34" t="s">
        <v>231</v>
      </c>
      <c r="H798" s="34" t="s">
        <v>235</v>
      </c>
    </row>
    <row r="799" spans="1:11" x14ac:dyDescent="0.25">
      <c r="A799" s="34">
        <v>3011405</v>
      </c>
      <c r="B799" s="1">
        <v>301014</v>
      </c>
      <c r="C799" s="34">
        <v>4</v>
      </c>
      <c r="D799" s="34">
        <v>200</v>
      </c>
      <c r="E799" s="5" t="s">
        <v>140</v>
      </c>
      <c r="F799" s="1" t="s">
        <v>14</v>
      </c>
      <c r="G799" s="34" t="s">
        <v>231</v>
      </c>
      <c r="H799" s="34" t="s">
        <v>236</v>
      </c>
    </row>
    <row r="800" spans="1:11" x14ac:dyDescent="0.25">
      <c r="A800" s="34">
        <v>3011406</v>
      </c>
      <c r="B800" s="1">
        <v>301014</v>
      </c>
      <c r="C800" s="34">
        <v>5</v>
      </c>
      <c r="D800" s="34">
        <v>300</v>
      </c>
      <c r="E800" s="5" t="s">
        <v>140</v>
      </c>
      <c r="F800" s="1" t="s">
        <v>14</v>
      </c>
      <c r="G800" s="34" t="s">
        <v>231</v>
      </c>
      <c r="H800" s="34" t="s">
        <v>237</v>
      </c>
    </row>
    <row r="801" spans="1:11" x14ac:dyDescent="0.25">
      <c r="A801" s="34">
        <v>3011407</v>
      </c>
      <c r="B801" s="1">
        <v>301014</v>
      </c>
      <c r="C801" s="34">
        <v>6</v>
      </c>
      <c r="D801" s="34">
        <v>400</v>
      </c>
      <c r="E801" s="5" t="s">
        <v>140</v>
      </c>
      <c r="F801" s="1" t="s">
        <v>14</v>
      </c>
      <c r="G801" s="34" t="s">
        <v>231</v>
      </c>
      <c r="H801" s="34" t="s">
        <v>238</v>
      </c>
    </row>
    <row r="802" spans="1:11" x14ac:dyDescent="0.25">
      <c r="A802" s="34">
        <v>3011408</v>
      </c>
      <c r="B802" s="1">
        <v>301014</v>
      </c>
      <c r="C802" s="34">
        <v>7</v>
      </c>
      <c r="D802" s="34">
        <v>500</v>
      </c>
      <c r="E802" s="5" t="s">
        <v>140</v>
      </c>
      <c r="F802" s="1" t="s">
        <v>14</v>
      </c>
      <c r="G802" s="34" t="s">
        <v>231</v>
      </c>
      <c r="H802" s="34" t="s">
        <v>239</v>
      </c>
    </row>
    <row r="803" spans="1:11" x14ac:dyDescent="0.25">
      <c r="A803" s="34">
        <v>3011409</v>
      </c>
      <c r="B803" s="1">
        <v>301014</v>
      </c>
      <c r="C803" s="34">
        <v>8</v>
      </c>
      <c r="D803" s="34">
        <v>1000</v>
      </c>
      <c r="E803" s="5" t="s">
        <v>140</v>
      </c>
      <c r="F803" s="1" t="s">
        <v>14</v>
      </c>
      <c r="G803" s="34" t="s">
        <v>231</v>
      </c>
      <c r="H803" s="34" t="s">
        <v>239</v>
      </c>
    </row>
    <row r="804" spans="1:11" x14ac:dyDescent="0.25">
      <c r="A804" s="34">
        <v>3011410</v>
      </c>
      <c r="B804" s="1">
        <v>301014</v>
      </c>
      <c r="C804" s="34">
        <v>9</v>
      </c>
      <c r="D804" s="34">
        <v>1100</v>
      </c>
      <c r="E804" s="5" t="s">
        <v>140</v>
      </c>
      <c r="F804" s="1" t="s">
        <v>14</v>
      </c>
      <c r="G804" s="34" t="s">
        <v>231</v>
      </c>
      <c r="H804" s="34" t="s">
        <v>239</v>
      </c>
    </row>
    <row r="805" spans="1:11" x14ac:dyDescent="0.25">
      <c r="A805" s="1">
        <f>A804+1</f>
        <v>3011411</v>
      </c>
      <c r="B805" s="1">
        <f>B804</f>
        <v>301014</v>
      </c>
      <c r="C805" s="1">
        <f>C804+1</f>
        <v>10</v>
      </c>
      <c r="D805" s="1">
        <f>D804+100</f>
        <v>1200</v>
      </c>
      <c r="E805" s="5" t="str">
        <f>IF(J805=0,J805,J805&amp;K805)</f>
        <v>速度+10</v>
      </c>
      <c r="F805" s="1" t="str">
        <f>F804</f>
        <v>1+0;</v>
      </c>
      <c r="G805" s="1" t="str">
        <f>G804</f>
        <v>撼山步</v>
      </c>
      <c r="J805" s="36" t="s">
        <v>140</v>
      </c>
      <c r="K805" s="5"/>
    </row>
    <row r="806" spans="1:11" x14ac:dyDescent="0.25">
      <c r="A806" s="1">
        <v>3011501</v>
      </c>
      <c r="B806" s="1">
        <v>301015</v>
      </c>
      <c r="C806" s="1">
        <v>1</v>
      </c>
      <c r="D806" s="1">
        <v>0</v>
      </c>
      <c r="E806" s="1">
        <v>0</v>
      </c>
      <c r="F806" s="1" t="s">
        <v>14</v>
      </c>
      <c r="G806" s="32" t="s">
        <v>266</v>
      </c>
      <c r="H806" s="32" t="s">
        <v>267</v>
      </c>
    </row>
    <row r="807" spans="1:11" x14ac:dyDescent="0.25">
      <c r="A807" s="1">
        <v>3011502</v>
      </c>
      <c r="B807" s="1">
        <v>301015</v>
      </c>
      <c r="C807" s="1">
        <v>1</v>
      </c>
      <c r="D807" s="1">
        <v>10</v>
      </c>
      <c r="E807" s="5" t="s">
        <v>140</v>
      </c>
      <c r="F807" s="1" t="s">
        <v>14</v>
      </c>
      <c r="G807" s="32" t="s">
        <v>266</v>
      </c>
      <c r="H807" s="32" t="s">
        <v>268</v>
      </c>
    </row>
    <row r="808" spans="1:11" x14ac:dyDescent="0.25">
      <c r="A808" s="1">
        <v>3011503</v>
      </c>
      <c r="B808" s="1">
        <v>301015</v>
      </c>
      <c r="C808" s="1">
        <v>2</v>
      </c>
      <c r="D808" s="1">
        <v>50</v>
      </c>
      <c r="E808" s="5" t="s">
        <v>140</v>
      </c>
      <c r="F808" s="1" t="s">
        <v>14</v>
      </c>
      <c r="G808" s="32" t="s">
        <v>266</v>
      </c>
      <c r="H808" s="32" t="s">
        <v>269</v>
      </c>
    </row>
    <row r="809" spans="1:11" x14ac:dyDescent="0.25">
      <c r="A809" s="1">
        <v>3011504</v>
      </c>
      <c r="B809" s="1">
        <v>301015</v>
      </c>
      <c r="C809" s="1">
        <v>3</v>
      </c>
      <c r="D809" s="1">
        <v>100</v>
      </c>
      <c r="E809" s="5" t="s">
        <v>140</v>
      </c>
      <c r="F809" s="1" t="s">
        <v>14</v>
      </c>
      <c r="G809" s="32" t="s">
        <v>266</v>
      </c>
      <c r="H809" s="32" t="s">
        <v>270</v>
      </c>
    </row>
    <row r="810" spans="1:11" x14ac:dyDescent="0.25">
      <c r="A810" s="1">
        <v>3011505</v>
      </c>
      <c r="B810" s="1">
        <v>301015</v>
      </c>
      <c r="C810" s="1">
        <v>4</v>
      </c>
      <c r="D810" s="1">
        <v>200</v>
      </c>
      <c r="E810" s="5" t="s">
        <v>140</v>
      </c>
      <c r="F810" s="1" t="s">
        <v>14</v>
      </c>
      <c r="G810" s="32" t="s">
        <v>266</v>
      </c>
      <c r="H810" s="32" t="s">
        <v>271</v>
      </c>
    </row>
    <row r="811" spans="1:11" x14ac:dyDescent="0.25">
      <c r="A811" s="1">
        <v>3011506</v>
      </c>
      <c r="B811" s="1">
        <v>301015</v>
      </c>
      <c r="C811" s="1">
        <v>5</v>
      </c>
      <c r="D811" s="1">
        <v>300</v>
      </c>
      <c r="E811" s="5" t="s">
        <v>140</v>
      </c>
      <c r="F811" s="1" t="s">
        <v>14</v>
      </c>
      <c r="G811" s="32" t="s">
        <v>266</v>
      </c>
      <c r="H811" s="32" t="s">
        <v>272</v>
      </c>
    </row>
    <row r="812" spans="1:11" x14ac:dyDescent="0.25">
      <c r="A812" s="1">
        <v>3011507</v>
      </c>
      <c r="B812" s="1">
        <v>301015</v>
      </c>
      <c r="C812" s="1">
        <v>6</v>
      </c>
      <c r="D812" s="1">
        <v>400</v>
      </c>
      <c r="E812" s="5" t="s">
        <v>140</v>
      </c>
      <c r="F812" s="1" t="s">
        <v>14</v>
      </c>
      <c r="G812" s="32" t="s">
        <v>266</v>
      </c>
      <c r="H812" s="33" t="s">
        <v>273</v>
      </c>
    </row>
    <row r="813" spans="1:11" x14ac:dyDescent="0.25">
      <c r="A813" s="1">
        <v>3011508</v>
      </c>
      <c r="B813" s="1">
        <v>301015</v>
      </c>
      <c r="C813" s="1">
        <v>7</v>
      </c>
      <c r="D813" s="1">
        <v>500</v>
      </c>
      <c r="E813" s="5" t="s">
        <v>140</v>
      </c>
      <c r="F813" s="1" t="s">
        <v>14</v>
      </c>
      <c r="G813" s="32" t="s">
        <v>266</v>
      </c>
      <c r="H813" s="32" t="s">
        <v>274</v>
      </c>
    </row>
    <row r="814" spans="1:11" x14ac:dyDescent="0.25">
      <c r="A814" s="1">
        <v>3011509</v>
      </c>
      <c r="B814" s="1">
        <v>301015</v>
      </c>
      <c r="C814" s="1">
        <v>8</v>
      </c>
      <c r="D814" s="1">
        <v>1000</v>
      </c>
      <c r="E814" s="5" t="s">
        <v>140</v>
      </c>
      <c r="F814" s="1" t="s">
        <v>14</v>
      </c>
      <c r="G814" s="32" t="s">
        <v>266</v>
      </c>
      <c r="H814" s="32" t="s">
        <v>274</v>
      </c>
    </row>
    <row r="815" spans="1:11" x14ac:dyDescent="0.25">
      <c r="A815" s="1">
        <v>3011510</v>
      </c>
      <c r="B815" s="1">
        <v>301015</v>
      </c>
      <c r="C815" s="1">
        <v>9</v>
      </c>
      <c r="D815" s="1">
        <v>1100</v>
      </c>
      <c r="E815" s="5" t="s">
        <v>140</v>
      </c>
      <c r="F815" s="1" t="s">
        <v>14</v>
      </c>
      <c r="G815" s="32" t="s">
        <v>266</v>
      </c>
      <c r="H815" s="32" t="s">
        <v>274</v>
      </c>
    </row>
    <row r="816" spans="1:11" x14ac:dyDescent="0.25">
      <c r="A816" s="1">
        <f>A815+1</f>
        <v>3011511</v>
      </c>
      <c r="B816" s="1">
        <f>B815</f>
        <v>301015</v>
      </c>
      <c r="C816" s="1">
        <f>C815+1</f>
        <v>10</v>
      </c>
      <c r="D816" s="1">
        <f>D815+100</f>
        <v>1200</v>
      </c>
      <c r="E816" s="5" t="str">
        <f>IF(J816=0,J816,J816&amp;K816)</f>
        <v>速度+10</v>
      </c>
      <c r="F816" s="1" t="str">
        <f>F815</f>
        <v>1+0;</v>
      </c>
      <c r="G816" s="1" t="str">
        <f>G815</f>
        <v>逆流十二身</v>
      </c>
      <c r="J816" s="36" t="s">
        <v>140</v>
      </c>
      <c r="K816" s="5"/>
    </row>
    <row r="817" spans="1:11" x14ac:dyDescent="0.25">
      <c r="A817" s="1">
        <v>3011601</v>
      </c>
      <c r="B817" s="1">
        <v>301016</v>
      </c>
      <c r="C817" s="1">
        <v>1</v>
      </c>
      <c r="D817" s="1">
        <v>0</v>
      </c>
      <c r="E817" s="1">
        <v>0</v>
      </c>
      <c r="F817" s="1" t="s">
        <v>14</v>
      </c>
      <c r="G817" s="32" t="s">
        <v>307</v>
      </c>
      <c r="H817" s="32" t="s">
        <v>267</v>
      </c>
    </row>
    <row r="818" spans="1:11" x14ac:dyDescent="0.25">
      <c r="A818" s="1">
        <v>3011602</v>
      </c>
      <c r="B818" s="1">
        <v>301016</v>
      </c>
      <c r="C818" s="1">
        <v>1</v>
      </c>
      <c r="D818" s="1">
        <v>10</v>
      </c>
      <c r="E818" s="5" t="s">
        <v>140</v>
      </c>
      <c r="F818" s="1" t="s">
        <v>14</v>
      </c>
      <c r="G818" s="32" t="s">
        <v>307</v>
      </c>
      <c r="H818" s="32" t="s">
        <v>268</v>
      </c>
    </row>
    <row r="819" spans="1:11" x14ac:dyDescent="0.25">
      <c r="A819" s="1">
        <v>3011603</v>
      </c>
      <c r="B819" s="1">
        <v>301016</v>
      </c>
      <c r="C819" s="1">
        <v>2</v>
      </c>
      <c r="D819" s="1">
        <v>50</v>
      </c>
      <c r="E819" s="5" t="s">
        <v>140</v>
      </c>
      <c r="F819" s="1" t="s">
        <v>14</v>
      </c>
      <c r="G819" s="32" t="s">
        <v>307</v>
      </c>
      <c r="H819" s="32" t="s">
        <v>269</v>
      </c>
    </row>
    <row r="820" spans="1:11" x14ac:dyDescent="0.25">
      <c r="A820" s="1">
        <v>3011604</v>
      </c>
      <c r="B820" s="1">
        <v>301016</v>
      </c>
      <c r="C820" s="1">
        <v>3</v>
      </c>
      <c r="D820" s="1">
        <v>100</v>
      </c>
      <c r="E820" s="5" t="s">
        <v>140</v>
      </c>
      <c r="F820" s="1" t="s">
        <v>14</v>
      </c>
      <c r="G820" s="32" t="s">
        <v>307</v>
      </c>
      <c r="H820" s="32" t="s">
        <v>270</v>
      </c>
    </row>
    <row r="821" spans="1:11" x14ac:dyDescent="0.25">
      <c r="A821" s="1">
        <v>3011605</v>
      </c>
      <c r="B821" s="1">
        <v>301016</v>
      </c>
      <c r="C821" s="1">
        <v>4</v>
      </c>
      <c r="D821" s="1">
        <v>200</v>
      </c>
      <c r="E821" s="5" t="s">
        <v>140</v>
      </c>
      <c r="F821" s="1" t="s">
        <v>14</v>
      </c>
      <c r="G821" s="32" t="s">
        <v>307</v>
      </c>
      <c r="H821" s="32" t="s">
        <v>271</v>
      </c>
    </row>
    <row r="822" spans="1:11" x14ac:dyDescent="0.25">
      <c r="A822" s="1">
        <v>3011606</v>
      </c>
      <c r="B822" s="1">
        <v>301016</v>
      </c>
      <c r="C822" s="1">
        <v>5</v>
      </c>
      <c r="D822" s="1">
        <v>300</v>
      </c>
      <c r="E822" s="5" t="s">
        <v>140</v>
      </c>
      <c r="F822" s="1" t="s">
        <v>14</v>
      </c>
      <c r="G822" s="32" t="s">
        <v>307</v>
      </c>
      <c r="H822" s="32" t="s">
        <v>272</v>
      </c>
    </row>
    <row r="823" spans="1:11" x14ac:dyDescent="0.25">
      <c r="A823" s="1">
        <v>3011607</v>
      </c>
      <c r="B823" s="1">
        <v>301016</v>
      </c>
      <c r="C823" s="1">
        <v>6</v>
      </c>
      <c r="D823" s="1">
        <v>400</v>
      </c>
      <c r="E823" s="5" t="s">
        <v>140</v>
      </c>
      <c r="F823" s="1" t="s">
        <v>14</v>
      </c>
      <c r="G823" s="32" t="s">
        <v>307</v>
      </c>
      <c r="H823" s="33" t="s">
        <v>273</v>
      </c>
    </row>
    <row r="824" spans="1:11" x14ac:dyDescent="0.25">
      <c r="A824" s="1">
        <v>3011608</v>
      </c>
      <c r="B824" s="1">
        <v>301016</v>
      </c>
      <c r="C824" s="1">
        <v>7</v>
      </c>
      <c r="D824" s="1">
        <v>500</v>
      </c>
      <c r="E824" s="5" t="s">
        <v>140</v>
      </c>
      <c r="F824" s="1" t="s">
        <v>14</v>
      </c>
      <c r="G824" s="32" t="s">
        <v>307</v>
      </c>
      <c r="H824" s="32" t="s">
        <v>274</v>
      </c>
    </row>
    <row r="825" spans="1:11" x14ac:dyDescent="0.25">
      <c r="A825" s="1">
        <v>3011609</v>
      </c>
      <c r="B825" s="1">
        <v>301016</v>
      </c>
      <c r="C825" s="1">
        <v>8</v>
      </c>
      <c r="D825" s="1">
        <v>1000</v>
      </c>
      <c r="E825" s="5" t="s">
        <v>140</v>
      </c>
      <c r="F825" s="1" t="s">
        <v>14</v>
      </c>
      <c r="G825" s="32" t="s">
        <v>307</v>
      </c>
      <c r="H825" s="32" t="s">
        <v>274</v>
      </c>
    </row>
    <row r="826" spans="1:11" x14ac:dyDescent="0.25">
      <c r="A826" s="1">
        <v>3011610</v>
      </c>
      <c r="B826" s="1">
        <v>301016</v>
      </c>
      <c r="C826" s="1">
        <v>9</v>
      </c>
      <c r="D826" s="1">
        <v>1100</v>
      </c>
      <c r="E826" s="5" t="s">
        <v>140</v>
      </c>
      <c r="F826" s="1" t="s">
        <v>14</v>
      </c>
      <c r="G826" s="32" t="s">
        <v>307</v>
      </c>
      <c r="H826" s="32" t="s">
        <v>274</v>
      </c>
    </row>
    <row r="827" spans="1:11" x14ac:dyDescent="0.25">
      <c r="A827" s="1">
        <f>A826+1</f>
        <v>3011611</v>
      </c>
      <c r="B827" s="1">
        <f>B826</f>
        <v>301016</v>
      </c>
      <c r="C827" s="1">
        <f>C826+1</f>
        <v>10</v>
      </c>
      <c r="D827" s="1">
        <f>D826+100</f>
        <v>1200</v>
      </c>
      <c r="E827" s="5" t="str">
        <f>IF(J827=0,J827,J827&amp;K827)</f>
        <v>速度+10</v>
      </c>
      <c r="F827" s="1" t="str">
        <f>F826</f>
        <v>1+0;</v>
      </c>
      <c r="G827" s="1" t="str">
        <f>G826</f>
        <v>虎贲阵</v>
      </c>
      <c r="J827" s="36" t="s">
        <v>140</v>
      </c>
      <c r="K827" s="5"/>
    </row>
    <row r="828" spans="1:11" x14ac:dyDescent="0.25">
      <c r="A828" s="1">
        <v>3011701</v>
      </c>
      <c r="B828" s="1">
        <v>301017</v>
      </c>
      <c r="C828" s="1">
        <v>1</v>
      </c>
      <c r="D828" s="1">
        <v>0</v>
      </c>
      <c r="E828" s="1">
        <v>0</v>
      </c>
      <c r="F828" s="1" t="s">
        <v>14</v>
      </c>
      <c r="G828" s="32" t="s">
        <v>312</v>
      </c>
      <c r="H828" s="32" t="s">
        <v>313</v>
      </c>
    </row>
    <row r="829" spans="1:11" x14ac:dyDescent="0.25">
      <c r="A829" s="1">
        <v>3011702</v>
      </c>
      <c r="B829" s="1">
        <v>301017</v>
      </c>
      <c r="C829" s="1">
        <v>1</v>
      </c>
      <c r="D829" s="1">
        <v>10</v>
      </c>
      <c r="E829" s="5" t="s">
        <v>140</v>
      </c>
      <c r="F829" s="1" t="s">
        <v>14</v>
      </c>
      <c r="G829" s="33" t="s">
        <v>312</v>
      </c>
      <c r="H829" s="32" t="s">
        <v>314</v>
      </c>
    </row>
    <row r="830" spans="1:11" x14ac:dyDescent="0.25">
      <c r="A830" s="1">
        <v>3011703</v>
      </c>
      <c r="B830" s="1">
        <v>301017</v>
      </c>
      <c r="C830" s="1">
        <v>2</v>
      </c>
      <c r="D830" s="1">
        <v>50</v>
      </c>
      <c r="E830" s="5" t="s">
        <v>140</v>
      </c>
      <c r="F830" s="1" t="s">
        <v>14</v>
      </c>
      <c r="G830" s="33" t="s">
        <v>312</v>
      </c>
      <c r="H830" s="32" t="s">
        <v>315</v>
      </c>
    </row>
    <row r="831" spans="1:11" x14ac:dyDescent="0.25">
      <c r="A831" s="1">
        <v>3011704</v>
      </c>
      <c r="B831" s="1">
        <v>301017</v>
      </c>
      <c r="C831" s="1">
        <v>3</v>
      </c>
      <c r="D831" s="1">
        <v>100</v>
      </c>
      <c r="E831" s="5" t="s">
        <v>140</v>
      </c>
      <c r="F831" s="1" t="s">
        <v>14</v>
      </c>
      <c r="G831" s="33" t="s">
        <v>312</v>
      </c>
      <c r="H831" s="32" t="s">
        <v>316</v>
      </c>
    </row>
    <row r="832" spans="1:11" x14ac:dyDescent="0.25">
      <c r="A832" s="1">
        <v>3011705</v>
      </c>
      <c r="B832" s="1">
        <v>301017</v>
      </c>
      <c r="C832" s="1">
        <v>4</v>
      </c>
      <c r="D832" s="1">
        <v>200</v>
      </c>
      <c r="E832" s="5" t="s">
        <v>140</v>
      </c>
      <c r="F832" s="1" t="s">
        <v>14</v>
      </c>
      <c r="G832" s="33" t="s">
        <v>312</v>
      </c>
      <c r="H832" s="32" t="s">
        <v>317</v>
      </c>
    </row>
    <row r="833" spans="1:8" x14ac:dyDescent="0.25">
      <c r="A833" s="1">
        <v>3011706</v>
      </c>
      <c r="B833" s="1">
        <v>301017</v>
      </c>
      <c r="C833" s="1">
        <v>5</v>
      </c>
      <c r="D833" s="1">
        <v>300</v>
      </c>
      <c r="E833" s="5" t="s">
        <v>140</v>
      </c>
      <c r="F833" s="1" t="s">
        <v>14</v>
      </c>
      <c r="G833" s="33" t="s">
        <v>312</v>
      </c>
      <c r="H833" s="32" t="s">
        <v>318</v>
      </c>
    </row>
    <row r="834" spans="1:8" x14ac:dyDescent="0.25">
      <c r="A834" s="1">
        <v>3011707</v>
      </c>
      <c r="B834" s="1">
        <v>301017</v>
      </c>
      <c r="C834" s="1">
        <v>6</v>
      </c>
      <c r="D834" s="1">
        <v>400</v>
      </c>
      <c r="E834" s="5" t="s">
        <v>140</v>
      </c>
      <c r="F834" s="1" t="s">
        <v>14</v>
      </c>
      <c r="G834" s="33" t="s">
        <v>312</v>
      </c>
      <c r="H834" s="32" t="s">
        <v>319</v>
      </c>
    </row>
    <row r="835" spans="1:8" x14ac:dyDescent="0.25">
      <c r="A835" s="1">
        <v>3011708</v>
      </c>
      <c r="B835" s="1">
        <v>301017</v>
      </c>
      <c r="C835" s="1">
        <v>7</v>
      </c>
      <c r="D835" s="1">
        <v>500</v>
      </c>
      <c r="E835" s="5" t="s">
        <v>140</v>
      </c>
      <c r="F835" s="1" t="s">
        <v>14</v>
      </c>
      <c r="G835" s="33" t="s">
        <v>312</v>
      </c>
      <c r="H835" s="32" t="s">
        <v>320</v>
      </c>
    </row>
    <row r="836" spans="1:8" x14ac:dyDescent="0.25">
      <c r="A836" s="1">
        <v>3011709</v>
      </c>
      <c r="B836" s="1">
        <v>301017</v>
      </c>
      <c r="C836" s="1">
        <v>8</v>
      </c>
      <c r="D836" s="1">
        <v>1000</v>
      </c>
      <c r="E836" s="5" t="s">
        <v>140</v>
      </c>
      <c r="F836" s="1" t="s">
        <v>14</v>
      </c>
      <c r="G836" s="1" t="s">
        <v>312</v>
      </c>
      <c r="H836" s="39" t="s">
        <v>321</v>
      </c>
    </row>
    <row r="837" spans="1:8" x14ac:dyDescent="0.25">
      <c r="A837" s="1">
        <v>3011710</v>
      </c>
      <c r="B837" s="1">
        <v>301017</v>
      </c>
      <c r="C837" s="1">
        <v>9</v>
      </c>
      <c r="D837" s="1">
        <v>1100</v>
      </c>
      <c r="E837" s="5" t="s">
        <v>140</v>
      </c>
      <c r="F837" s="1" t="s">
        <v>14</v>
      </c>
      <c r="G837" s="1" t="s">
        <v>312</v>
      </c>
      <c r="H837" s="39" t="s">
        <v>322</v>
      </c>
    </row>
    <row r="838" spans="1:8" x14ac:dyDescent="0.25">
      <c r="A838" s="1">
        <v>3011711</v>
      </c>
      <c r="B838" s="1">
        <v>301017</v>
      </c>
      <c r="C838" s="1">
        <f>C837+1</f>
        <v>10</v>
      </c>
      <c r="D838" s="1">
        <f>D837+100</f>
        <v>1200</v>
      </c>
      <c r="E838" s="5">
        <f>IF(J838=0,J838,J838&amp;K838)</f>
        <v>0</v>
      </c>
      <c r="F838" s="1" t="str">
        <f>F837</f>
        <v>1+0;</v>
      </c>
      <c r="G838" s="1" t="s">
        <v>312</v>
      </c>
      <c r="H838" s="39" t="s">
        <v>323</v>
      </c>
    </row>
  </sheetData>
  <autoFilter ref="A1:H804" xr:uid="{00000000-0009-0000-0000-000000000000}"/>
  <sortState xmlns:xlrd2="http://schemas.microsoft.com/office/spreadsheetml/2017/richdata2" ref="A29:G220">
    <sortCondition ref="A1"/>
  </sortState>
  <phoneticPr fontId="8" type="noConversion"/>
  <conditionalFormatting sqref="A13">
    <cfRule type="duplicateValues" dxfId="171" priority="163"/>
  </conditionalFormatting>
  <conditionalFormatting sqref="A14:A15">
    <cfRule type="duplicateValues" dxfId="170" priority="162"/>
  </conditionalFormatting>
  <conditionalFormatting sqref="A26">
    <cfRule type="duplicateValues" dxfId="169" priority="161"/>
  </conditionalFormatting>
  <conditionalFormatting sqref="A27">
    <cfRule type="duplicateValues" dxfId="168" priority="160"/>
  </conditionalFormatting>
  <conditionalFormatting sqref="A28">
    <cfRule type="duplicateValues" dxfId="167" priority="91"/>
  </conditionalFormatting>
  <conditionalFormatting sqref="A39">
    <cfRule type="duplicateValues" dxfId="166" priority="159"/>
  </conditionalFormatting>
  <conditionalFormatting sqref="A40">
    <cfRule type="duplicateValues" dxfId="165" priority="158"/>
  </conditionalFormatting>
  <conditionalFormatting sqref="A41 A54">
    <cfRule type="duplicateValues" dxfId="164" priority="90"/>
  </conditionalFormatting>
  <conditionalFormatting sqref="A42:A54">
    <cfRule type="duplicateValues" dxfId="163" priority="6"/>
  </conditionalFormatting>
  <conditionalFormatting sqref="A52">
    <cfRule type="duplicateValues" dxfId="162" priority="5"/>
  </conditionalFormatting>
  <conditionalFormatting sqref="A53">
    <cfRule type="duplicateValues" dxfId="161" priority="4"/>
  </conditionalFormatting>
  <conditionalFormatting sqref="A65">
    <cfRule type="duplicateValues" dxfId="160" priority="157"/>
  </conditionalFormatting>
  <conditionalFormatting sqref="A66">
    <cfRule type="duplicateValues" dxfId="159" priority="156"/>
  </conditionalFormatting>
  <conditionalFormatting sqref="A67">
    <cfRule type="duplicateValues" dxfId="158" priority="89"/>
  </conditionalFormatting>
  <conditionalFormatting sqref="A78">
    <cfRule type="duplicateValues" dxfId="157" priority="155"/>
  </conditionalFormatting>
  <conditionalFormatting sqref="A79">
    <cfRule type="duplicateValues" dxfId="156" priority="154"/>
  </conditionalFormatting>
  <conditionalFormatting sqref="A80">
    <cfRule type="duplicateValues" dxfId="155" priority="88"/>
  </conditionalFormatting>
  <conditionalFormatting sqref="A91">
    <cfRule type="duplicateValues" dxfId="154" priority="153"/>
  </conditionalFormatting>
  <conditionalFormatting sqref="A92">
    <cfRule type="duplicateValues" dxfId="153" priority="152"/>
  </conditionalFormatting>
  <conditionalFormatting sqref="A93">
    <cfRule type="duplicateValues" dxfId="152" priority="87"/>
  </conditionalFormatting>
  <conditionalFormatting sqref="A104">
    <cfRule type="duplicateValues" dxfId="151" priority="151"/>
  </conditionalFormatting>
  <conditionalFormatting sqref="A105">
    <cfRule type="duplicateValues" dxfId="150" priority="150"/>
  </conditionalFormatting>
  <conditionalFormatting sqref="A106">
    <cfRule type="duplicateValues" dxfId="149" priority="86"/>
  </conditionalFormatting>
  <conditionalFormatting sqref="A117">
    <cfRule type="duplicateValues" dxfId="148" priority="149"/>
  </conditionalFormatting>
  <conditionalFormatting sqref="A118">
    <cfRule type="duplicateValues" dxfId="147" priority="148"/>
  </conditionalFormatting>
  <conditionalFormatting sqref="A119 A132">
    <cfRule type="duplicateValues" dxfId="146" priority="85"/>
  </conditionalFormatting>
  <conditionalFormatting sqref="A120:A132">
    <cfRule type="duplicateValues" dxfId="145" priority="9"/>
  </conditionalFormatting>
  <conditionalFormatting sqref="A130">
    <cfRule type="duplicateValues" dxfId="144" priority="8"/>
  </conditionalFormatting>
  <conditionalFormatting sqref="A131">
    <cfRule type="duplicateValues" dxfId="143" priority="7"/>
  </conditionalFormatting>
  <conditionalFormatting sqref="A143">
    <cfRule type="duplicateValues" dxfId="142" priority="147"/>
  </conditionalFormatting>
  <conditionalFormatting sqref="A144">
    <cfRule type="duplicateValues" dxfId="141" priority="146"/>
  </conditionalFormatting>
  <conditionalFormatting sqref="A145">
    <cfRule type="duplicateValues" dxfId="140" priority="84"/>
  </conditionalFormatting>
  <conditionalFormatting sqref="A146:A157">
    <cfRule type="duplicateValues" dxfId="139" priority="104"/>
    <cfRule type="duplicateValues" dxfId="138" priority="107"/>
  </conditionalFormatting>
  <conditionalFormatting sqref="A156">
    <cfRule type="duplicateValues" dxfId="137" priority="106"/>
  </conditionalFormatting>
  <conditionalFormatting sqref="A157">
    <cfRule type="duplicateValues" dxfId="136" priority="105"/>
  </conditionalFormatting>
  <conditionalFormatting sqref="A158">
    <cfRule type="duplicateValues" dxfId="135" priority="83"/>
  </conditionalFormatting>
  <conditionalFormatting sqref="A169">
    <cfRule type="duplicateValues" dxfId="134" priority="145"/>
  </conditionalFormatting>
  <conditionalFormatting sqref="A170">
    <cfRule type="duplicateValues" dxfId="133" priority="144"/>
  </conditionalFormatting>
  <conditionalFormatting sqref="A171">
    <cfRule type="duplicateValues" dxfId="132" priority="82"/>
  </conditionalFormatting>
  <conditionalFormatting sqref="A182">
    <cfRule type="duplicateValues" dxfId="131" priority="143"/>
  </conditionalFormatting>
  <conditionalFormatting sqref="A183">
    <cfRule type="duplicateValues" dxfId="130" priority="142"/>
  </conditionalFormatting>
  <conditionalFormatting sqref="A184">
    <cfRule type="duplicateValues" dxfId="129" priority="81"/>
  </conditionalFormatting>
  <conditionalFormatting sqref="A195">
    <cfRule type="duplicateValues" dxfId="128" priority="141"/>
  </conditionalFormatting>
  <conditionalFormatting sqref="A196">
    <cfRule type="duplicateValues" dxfId="127" priority="140"/>
  </conditionalFormatting>
  <conditionalFormatting sqref="A197">
    <cfRule type="duplicateValues" dxfId="126" priority="80"/>
  </conditionalFormatting>
  <conditionalFormatting sqref="A198:A209">
    <cfRule type="duplicateValues" dxfId="125" priority="109"/>
    <cfRule type="duplicateValues" dxfId="124" priority="112"/>
  </conditionalFormatting>
  <conditionalFormatting sqref="A208">
    <cfRule type="duplicateValues" dxfId="123" priority="111"/>
  </conditionalFormatting>
  <conditionalFormatting sqref="A209">
    <cfRule type="duplicateValues" dxfId="122" priority="110"/>
  </conditionalFormatting>
  <conditionalFormatting sqref="A210">
    <cfRule type="duplicateValues" dxfId="121" priority="79"/>
  </conditionalFormatting>
  <conditionalFormatting sqref="A221">
    <cfRule type="duplicateValues" dxfId="120" priority="139"/>
  </conditionalFormatting>
  <conditionalFormatting sqref="A222">
    <cfRule type="duplicateValues" dxfId="119" priority="138"/>
  </conditionalFormatting>
  <conditionalFormatting sqref="A223">
    <cfRule type="duplicateValues" dxfId="118" priority="78"/>
  </conditionalFormatting>
  <conditionalFormatting sqref="A234">
    <cfRule type="duplicateValues" dxfId="117" priority="137"/>
  </conditionalFormatting>
  <conditionalFormatting sqref="A235">
    <cfRule type="duplicateValues" dxfId="116" priority="136"/>
  </conditionalFormatting>
  <conditionalFormatting sqref="A236">
    <cfRule type="duplicateValues" dxfId="115" priority="77"/>
  </conditionalFormatting>
  <conditionalFormatting sqref="A247">
    <cfRule type="duplicateValues" dxfId="114" priority="135"/>
  </conditionalFormatting>
  <conditionalFormatting sqref="A248">
    <cfRule type="duplicateValues" dxfId="113" priority="134"/>
  </conditionalFormatting>
  <conditionalFormatting sqref="A249 A262">
    <cfRule type="duplicateValues" dxfId="112" priority="76"/>
  </conditionalFormatting>
  <conditionalFormatting sqref="A250:A262">
    <cfRule type="duplicateValues" dxfId="111" priority="13"/>
  </conditionalFormatting>
  <conditionalFormatting sqref="A260">
    <cfRule type="duplicateValues" dxfId="110" priority="12"/>
  </conditionalFormatting>
  <conditionalFormatting sqref="A261">
    <cfRule type="duplicateValues" dxfId="109" priority="11"/>
  </conditionalFormatting>
  <conditionalFormatting sqref="A273">
    <cfRule type="duplicateValues" dxfId="108" priority="133"/>
  </conditionalFormatting>
  <conditionalFormatting sqref="A274">
    <cfRule type="duplicateValues" dxfId="107" priority="132"/>
  </conditionalFormatting>
  <conditionalFormatting sqref="A275">
    <cfRule type="duplicateValues" dxfId="106" priority="75"/>
  </conditionalFormatting>
  <conditionalFormatting sqref="A286">
    <cfRule type="duplicateValues" dxfId="105" priority="131"/>
  </conditionalFormatting>
  <conditionalFormatting sqref="A287">
    <cfRule type="duplicateValues" dxfId="104" priority="130"/>
  </conditionalFormatting>
  <conditionalFormatting sqref="A288">
    <cfRule type="duplicateValues" dxfId="103" priority="74"/>
  </conditionalFormatting>
  <conditionalFormatting sqref="A299">
    <cfRule type="duplicateValues" dxfId="102" priority="129"/>
  </conditionalFormatting>
  <conditionalFormatting sqref="A300">
    <cfRule type="duplicateValues" dxfId="101" priority="128"/>
  </conditionalFormatting>
  <conditionalFormatting sqref="A301">
    <cfRule type="duplicateValues" dxfId="100" priority="73"/>
  </conditionalFormatting>
  <conditionalFormatting sqref="A312">
    <cfRule type="duplicateValues" dxfId="99" priority="127"/>
  </conditionalFormatting>
  <conditionalFormatting sqref="A313">
    <cfRule type="duplicateValues" dxfId="98" priority="126"/>
  </conditionalFormatting>
  <conditionalFormatting sqref="A314 A340 A327">
    <cfRule type="duplicateValues" dxfId="97" priority="72"/>
  </conditionalFormatting>
  <conditionalFormatting sqref="A315:A340">
    <cfRule type="duplicateValues" dxfId="96" priority="18"/>
  </conditionalFormatting>
  <conditionalFormatting sqref="A325">
    <cfRule type="duplicateValues" dxfId="95" priority="15"/>
  </conditionalFormatting>
  <conditionalFormatting sqref="A326">
    <cfRule type="duplicateValues" dxfId="94" priority="14"/>
  </conditionalFormatting>
  <conditionalFormatting sqref="A338">
    <cfRule type="duplicateValues" dxfId="93" priority="17"/>
  </conditionalFormatting>
  <conditionalFormatting sqref="A339">
    <cfRule type="duplicateValues" dxfId="92" priority="16"/>
  </conditionalFormatting>
  <conditionalFormatting sqref="A351">
    <cfRule type="duplicateValues" dxfId="91" priority="125"/>
  </conditionalFormatting>
  <conditionalFormatting sqref="A352">
    <cfRule type="duplicateValues" dxfId="90" priority="124"/>
  </conditionalFormatting>
  <conditionalFormatting sqref="A353">
    <cfRule type="duplicateValues" dxfId="89" priority="71"/>
  </conditionalFormatting>
  <conditionalFormatting sqref="A364">
    <cfRule type="duplicateValues" dxfId="88" priority="123"/>
  </conditionalFormatting>
  <conditionalFormatting sqref="A365">
    <cfRule type="duplicateValues" dxfId="87" priority="122"/>
  </conditionalFormatting>
  <conditionalFormatting sqref="A366">
    <cfRule type="duplicateValues" dxfId="86" priority="70"/>
  </conditionalFormatting>
  <conditionalFormatting sqref="A377">
    <cfRule type="duplicateValues" dxfId="85" priority="121"/>
  </conditionalFormatting>
  <conditionalFormatting sqref="A378">
    <cfRule type="duplicateValues" dxfId="84" priority="120"/>
  </conditionalFormatting>
  <conditionalFormatting sqref="A379">
    <cfRule type="duplicateValues" dxfId="83" priority="69"/>
  </conditionalFormatting>
  <conditionalFormatting sqref="A380:A389">
    <cfRule type="duplicateValues" dxfId="82" priority="173"/>
  </conditionalFormatting>
  <conditionalFormatting sqref="A390">
    <cfRule type="duplicateValues" dxfId="81" priority="119"/>
  </conditionalFormatting>
  <conditionalFormatting sqref="A391">
    <cfRule type="duplicateValues" dxfId="80" priority="118"/>
  </conditionalFormatting>
  <conditionalFormatting sqref="A392 A405">
    <cfRule type="duplicateValues" dxfId="79" priority="68"/>
  </conditionalFormatting>
  <conditionalFormatting sqref="A416">
    <cfRule type="duplicateValues" dxfId="78" priority="117"/>
  </conditionalFormatting>
  <conditionalFormatting sqref="A417">
    <cfRule type="duplicateValues" dxfId="77" priority="116"/>
  </conditionalFormatting>
  <conditionalFormatting sqref="A418">
    <cfRule type="duplicateValues" dxfId="76" priority="67"/>
  </conditionalFormatting>
  <conditionalFormatting sqref="A429">
    <cfRule type="duplicateValues" dxfId="75" priority="115"/>
  </conditionalFormatting>
  <conditionalFormatting sqref="A430">
    <cfRule type="duplicateValues" dxfId="74" priority="114"/>
  </conditionalFormatting>
  <conditionalFormatting sqref="A431">
    <cfRule type="duplicateValues" dxfId="73" priority="66"/>
  </conditionalFormatting>
  <conditionalFormatting sqref="A442">
    <cfRule type="duplicateValues" dxfId="72" priority="65"/>
  </conditionalFormatting>
  <conditionalFormatting sqref="A453">
    <cfRule type="duplicateValues" dxfId="71" priority="64"/>
  </conditionalFormatting>
  <conditionalFormatting sqref="A464">
    <cfRule type="duplicateValues" dxfId="70" priority="63"/>
  </conditionalFormatting>
  <conditionalFormatting sqref="A475">
    <cfRule type="duplicateValues" dxfId="69" priority="62"/>
  </conditionalFormatting>
  <conditionalFormatting sqref="A486">
    <cfRule type="duplicateValues" dxfId="68" priority="61"/>
  </conditionalFormatting>
  <conditionalFormatting sqref="A497">
    <cfRule type="duplicateValues" dxfId="67" priority="60"/>
  </conditionalFormatting>
  <conditionalFormatting sqref="A508">
    <cfRule type="duplicateValues" dxfId="66" priority="59"/>
  </conditionalFormatting>
  <conditionalFormatting sqref="A519">
    <cfRule type="duplicateValues" dxfId="65" priority="58"/>
  </conditionalFormatting>
  <conditionalFormatting sqref="A530">
    <cfRule type="duplicateValues" dxfId="64" priority="57"/>
  </conditionalFormatting>
  <conditionalFormatting sqref="A541">
    <cfRule type="duplicateValues" dxfId="63" priority="56"/>
  </conditionalFormatting>
  <conditionalFormatting sqref="A552">
    <cfRule type="duplicateValues" dxfId="62" priority="55"/>
  </conditionalFormatting>
  <conditionalFormatting sqref="A563">
    <cfRule type="duplicateValues" dxfId="61" priority="54"/>
  </conditionalFormatting>
  <conditionalFormatting sqref="A574">
    <cfRule type="duplicateValues" dxfId="60" priority="53"/>
  </conditionalFormatting>
  <conditionalFormatting sqref="A585">
    <cfRule type="duplicateValues" dxfId="59" priority="52"/>
  </conditionalFormatting>
  <conditionalFormatting sqref="A596">
    <cfRule type="duplicateValues" dxfId="58" priority="51"/>
  </conditionalFormatting>
  <conditionalFormatting sqref="A607">
    <cfRule type="duplicateValues" dxfId="57" priority="50"/>
  </conditionalFormatting>
  <conditionalFormatting sqref="A618">
    <cfRule type="duplicateValues" dxfId="56" priority="49"/>
  </conditionalFormatting>
  <conditionalFormatting sqref="A619:A628">
    <cfRule type="duplicateValues" dxfId="55" priority="164"/>
    <cfRule type="duplicateValues" dxfId="54" priority="165"/>
    <cfRule type="duplicateValues" dxfId="53" priority="166"/>
    <cfRule type="duplicateValues" dxfId="52" priority="167"/>
    <cfRule type="duplicateValues" dxfId="51" priority="168"/>
    <cfRule type="duplicateValues" dxfId="50" priority="169"/>
    <cfRule type="duplicateValues" dxfId="49" priority="170"/>
  </conditionalFormatting>
  <conditionalFormatting sqref="A629">
    <cfRule type="duplicateValues" dxfId="48" priority="48"/>
  </conditionalFormatting>
  <conditionalFormatting sqref="A630:A639">
    <cfRule type="duplicateValues" dxfId="47" priority="95"/>
    <cfRule type="duplicateValues" dxfId="46" priority="96"/>
    <cfRule type="duplicateValues" dxfId="45" priority="97"/>
    <cfRule type="duplicateValues" dxfId="44" priority="98"/>
    <cfRule type="duplicateValues" dxfId="43" priority="99"/>
    <cfRule type="duplicateValues" dxfId="42" priority="100"/>
    <cfRule type="duplicateValues" dxfId="41" priority="101"/>
    <cfRule type="duplicateValues" dxfId="40" priority="102"/>
  </conditionalFormatting>
  <conditionalFormatting sqref="A640 A651">
    <cfRule type="duplicateValues" dxfId="39" priority="47"/>
  </conditionalFormatting>
  <conditionalFormatting sqref="A641:A650">
    <cfRule type="duplicateValues" dxfId="38" priority="19"/>
    <cfRule type="duplicateValues" dxfId="37" priority="20"/>
    <cfRule type="duplicateValues" dxfId="36" priority="21"/>
    <cfRule type="duplicateValues" dxfId="35" priority="22"/>
    <cfRule type="duplicateValues" dxfId="34" priority="23"/>
    <cfRule type="duplicateValues" dxfId="33" priority="24"/>
    <cfRule type="duplicateValues" dxfId="32" priority="25"/>
    <cfRule type="duplicateValues" dxfId="31" priority="26"/>
  </conditionalFormatting>
  <conditionalFormatting sqref="A662">
    <cfRule type="duplicateValues" dxfId="30" priority="46"/>
  </conditionalFormatting>
  <conditionalFormatting sqref="A673">
    <cfRule type="duplicateValues" dxfId="29" priority="45"/>
  </conditionalFormatting>
  <conditionalFormatting sqref="A684">
    <cfRule type="duplicateValues" dxfId="28" priority="44"/>
  </conditionalFormatting>
  <conditionalFormatting sqref="A695">
    <cfRule type="duplicateValues" dxfId="27" priority="43"/>
  </conditionalFormatting>
  <conditionalFormatting sqref="A706">
    <cfRule type="duplicateValues" dxfId="26" priority="42"/>
  </conditionalFormatting>
  <conditionalFormatting sqref="A717">
    <cfRule type="duplicateValues" dxfId="25" priority="41"/>
  </conditionalFormatting>
  <conditionalFormatting sqref="A728">
    <cfRule type="duplicateValues" dxfId="24" priority="40"/>
  </conditionalFormatting>
  <conditionalFormatting sqref="A739">
    <cfRule type="duplicateValues" dxfId="23" priority="39"/>
  </conditionalFormatting>
  <conditionalFormatting sqref="A750">
    <cfRule type="duplicateValues" dxfId="22" priority="38"/>
  </conditionalFormatting>
  <conditionalFormatting sqref="A761">
    <cfRule type="duplicateValues" dxfId="21" priority="37"/>
  </conditionalFormatting>
  <conditionalFormatting sqref="A772">
    <cfRule type="duplicateValues" dxfId="20" priority="36"/>
  </conditionalFormatting>
  <conditionalFormatting sqref="A783">
    <cfRule type="duplicateValues" dxfId="19" priority="35"/>
  </conditionalFormatting>
  <conditionalFormatting sqref="A794">
    <cfRule type="duplicateValues" dxfId="18" priority="34"/>
  </conditionalFormatting>
  <conditionalFormatting sqref="A805">
    <cfRule type="duplicateValues" dxfId="17" priority="33"/>
  </conditionalFormatting>
  <conditionalFormatting sqref="A816">
    <cfRule type="duplicateValues" dxfId="16" priority="32"/>
  </conditionalFormatting>
  <conditionalFormatting sqref="A817:A826">
    <cfRule type="duplicateValues" dxfId="15" priority="92"/>
    <cfRule type="duplicateValues" dxfId="14" priority="94"/>
  </conditionalFormatting>
  <conditionalFormatting sqref="A827 A158:A197 A640 A839:A1048576 A651:A816 A1:A145 A210:A629">
    <cfRule type="duplicateValues" dxfId="13" priority="113"/>
  </conditionalFormatting>
  <conditionalFormatting sqref="A827">
    <cfRule type="duplicateValues" dxfId="12" priority="31"/>
  </conditionalFormatting>
  <conditionalFormatting sqref="A828:A838">
    <cfRule type="duplicateValues" dxfId="11" priority="28"/>
    <cfRule type="duplicateValues" dxfId="10" priority="30"/>
  </conditionalFormatting>
  <conditionalFormatting sqref="A839:A1048576 A652:A661 A406:A415 A1:A12 A16:A25 A29:A38 A55:A64 A68:A77 A81:A90 A94:A103 A107:A116 A133:A142 A159:A168 A172:A181 A185:A194 A211:A220 A224:A233 A237:A246 A263:A272 A276:A285 A289:A298 A302:A311 A341:A350 A354:A363 A367:A376 A419:A428 A432:A441 A443:A452 A454:A463 A465:A474 A476:A485 A487:A496 A498:A507 A509:A518 A520:A529 A531:A540 A542:A551 A553:A562 A564:A573 A575:A584 A586:A595 A597:A606 A608:A617 A663:A672 A674:A683 A685:A694 A696:A705 A707:A716 A718:A727 A729:A738 A740:A749 A751:A760 A762:A771 A773:A782 A784:A793 A795:A804 A806:A815">
    <cfRule type="duplicateValues" dxfId="9" priority="174"/>
  </conditionalFormatting>
  <conditionalFormatting sqref="B107:B116">
    <cfRule type="duplicateValues" dxfId="8" priority="175"/>
  </conditionalFormatting>
  <conditionalFormatting sqref="B120:B132">
    <cfRule type="duplicateValues" dxfId="7" priority="10"/>
  </conditionalFormatting>
  <conditionalFormatting sqref="B146:B157">
    <cfRule type="duplicateValues" dxfId="6" priority="103"/>
  </conditionalFormatting>
  <conditionalFormatting sqref="B198:B209">
    <cfRule type="duplicateValues" dxfId="5" priority="108"/>
  </conditionalFormatting>
  <conditionalFormatting sqref="G806:H806">
    <cfRule type="duplicateValues" dxfId="4" priority="172"/>
  </conditionalFormatting>
  <conditionalFormatting sqref="G817:H817 G818:G826">
    <cfRule type="duplicateValues" dxfId="3" priority="93"/>
  </conditionalFormatting>
  <conditionalFormatting sqref="A393:A405">
    <cfRule type="duplicateValues" dxfId="2" priority="3"/>
  </conditionalFormatting>
  <conditionalFormatting sqref="A403">
    <cfRule type="duplicateValues" dxfId="1" priority="2"/>
  </conditionalFormatting>
  <conditionalFormatting sqref="A404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0"/>
  <sheetViews>
    <sheetView workbookViewId="0">
      <selection activeCell="J17" sqref="A1:J17"/>
    </sheetView>
  </sheetViews>
  <sheetFormatPr defaultColWidth="9" defaultRowHeight="14" x14ac:dyDescent="0.25"/>
  <cols>
    <col min="1" max="1" width="13.6328125" customWidth="1"/>
    <col min="5" max="5" width="18.81640625" customWidth="1"/>
  </cols>
  <sheetData>
    <row r="1" spans="1:5" x14ac:dyDescent="0.25">
      <c r="A1" t="s">
        <v>13</v>
      </c>
      <c r="B1">
        <v>101001</v>
      </c>
      <c r="C1">
        <v>1</v>
      </c>
      <c r="D1">
        <v>0</v>
      </c>
      <c r="E1">
        <v>0</v>
      </c>
    </row>
    <row r="2" spans="1:5" x14ac:dyDescent="0.25">
      <c r="A2">
        <v>1010102</v>
      </c>
      <c r="B2">
        <v>101001</v>
      </c>
      <c r="C2">
        <v>1</v>
      </c>
      <c r="D2">
        <v>10</v>
      </c>
      <c r="E2" t="s">
        <v>240</v>
      </c>
    </row>
    <row r="3" spans="1:5" x14ac:dyDescent="0.25">
      <c r="A3" t="s">
        <v>17</v>
      </c>
      <c r="B3">
        <v>101001</v>
      </c>
      <c r="C3">
        <v>1</v>
      </c>
      <c r="D3">
        <v>0</v>
      </c>
      <c r="E3">
        <v>0</v>
      </c>
    </row>
    <row r="4" spans="1:5" x14ac:dyDescent="0.25">
      <c r="A4">
        <v>1010104</v>
      </c>
      <c r="B4">
        <v>101001</v>
      </c>
      <c r="C4">
        <v>2</v>
      </c>
      <c r="D4">
        <v>30</v>
      </c>
      <c r="E4" t="s">
        <v>241</v>
      </c>
    </row>
    <row r="5" spans="1:5" x14ac:dyDescent="0.25">
      <c r="A5">
        <v>1010105</v>
      </c>
      <c r="B5">
        <v>101001</v>
      </c>
      <c r="C5">
        <v>1</v>
      </c>
      <c r="D5">
        <v>0</v>
      </c>
      <c r="E5">
        <v>0</v>
      </c>
    </row>
    <row r="6" spans="1:5" x14ac:dyDescent="0.25">
      <c r="A6">
        <v>1010106</v>
      </c>
      <c r="B6">
        <v>101001</v>
      </c>
      <c r="C6">
        <v>3</v>
      </c>
      <c r="D6">
        <v>50</v>
      </c>
      <c r="E6" t="s">
        <v>242</v>
      </c>
    </row>
    <row r="7" spans="1:5" x14ac:dyDescent="0.25">
      <c r="A7">
        <v>1010107</v>
      </c>
      <c r="B7">
        <v>101001</v>
      </c>
      <c r="C7">
        <v>4</v>
      </c>
      <c r="D7">
        <v>1920</v>
      </c>
      <c r="E7" t="s">
        <v>243</v>
      </c>
    </row>
    <row r="8" spans="1:5" x14ac:dyDescent="0.25">
      <c r="A8">
        <v>1010108</v>
      </c>
      <c r="B8">
        <v>101001</v>
      </c>
      <c r="C8">
        <v>5</v>
      </c>
      <c r="D8">
        <v>3840</v>
      </c>
      <c r="E8" t="s">
        <v>244</v>
      </c>
    </row>
    <row r="9" spans="1:5" x14ac:dyDescent="0.25">
      <c r="A9">
        <v>1010109</v>
      </c>
      <c r="B9">
        <v>101001</v>
      </c>
      <c r="C9">
        <v>6</v>
      </c>
      <c r="D9">
        <v>7680</v>
      </c>
      <c r="E9" t="s">
        <v>245</v>
      </c>
    </row>
    <row r="10" spans="1:5" x14ac:dyDescent="0.25">
      <c r="A10">
        <v>1010110</v>
      </c>
      <c r="B10">
        <v>101001</v>
      </c>
      <c r="C10">
        <v>7</v>
      </c>
      <c r="D10">
        <v>15360</v>
      </c>
      <c r="E10" t="s">
        <v>246</v>
      </c>
    </row>
    <row r="11" spans="1:5" x14ac:dyDescent="0.25">
      <c r="A11">
        <v>1010201</v>
      </c>
      <c r="B11">
        <v>101002</v>
      </c>
      <c r="C11">
        <v>1</v>
      </c>
      <c r="D11">
        <v>0</v>
      </c>
      <c r="E11">
        <v>0</v>
      </c>
    </row>
    <row r="12" spans="1:5" x14ac:dyDescent="0.25">
      <c r="A12">
        <v>1010202</v>
      </c>
      <c r="B12">
        <v>101002</v>
      </c>
      <c r="C12">
        <v>1</v>
      </c>
      <c r="D12">
        <v>10</v>
      </c>
      <c r="E12" t="s">
        <v>240</v>
      </c>
    </row>
    <row r="13" spans="1:5" x14ac:dyDescent="0.25">
      <c r="A13">
        <v>1010203</v>
      </c>
      <c r="B13">
        <v>101002</v>
      </c>
      <c r="C13">
        <v>1</v>
      </c>
      <c r="D13">
        <v>0</v>
      </c>
      <c r="E13">
        <v>0</v>
      </c>
    </row>
    <row r="14" spans="1:5" x14ac:dyDescent="0.25">
      <c r="A14">
        <v>1010204</v>
      </c>
      <c r="B14">
        <v>101002</v>
      </c>
      <c r="C14">
        <v>2</v>
      </c>
      <c r="D14">
        <v>30</v>
      </c>
      <c r="E14" t="s">
        <v>241</v>
      </c>
    </row>
    <row r="15" spans="1:5" x14ac:dyDescent="0.25">
      <c r="A15">
        <v>1010205</v>
      </c>
      <c r="B15">
        <v>101002</v>
      </c>
      <c r="C15">
        <v>1</v>
      </c>
      <c r="D15">
        <v>0</v>
      </c>
      <c r="E15">
        <v>0</v>
      </c>
    </row>
    <row r="16" spans="1:5" x14ac:dyDescent="0.25">
      <c r="A16">
        <v>1010206</v>
      </c>
      <c r="B16">
        <v>101002</v>
      </c>
      <c r="C16">
        <v>3</v>
      </c>
      <c r="D16">
        <v>50</v>
      </c>
      <c r="E16" t="s">
        <v>242</v>
      </c>
    </row>
    <row r="17" spans="1:5" x14ac:dyDescent="0.25">
      <c r="A17">
        <v>1010207</v>
      </c>
      <c r="B17">
        <v>101002</v>
      </c>
      <c r="C17">
        <v>4</v>
      </c>
      <c r="D17">
        <v>1920</v>
      </c>
      <c r="E17" t="s">
        <v>243</v>
      </c>
    </row>
    <row r="18" spans="1:5" x14ac:dyDescent="0.25">
      <c r="A18">
        <v>1010208</v>
      </c>
      <c r="B18">
        <v>101002</v>
      </c>
      <c r="C18">
        <v>5</v>
      </c>
      <c r="D18">
        <v>3840</v>
      </c>
      <c r="E18" t="s">
        <v>244</v>
      </c>
    </row>
    <row r="19" spans="1:5" x14ac:dyDescent="0.25">
      <c r="A19">
        <v>1010209</v>
      </c>
      <c r="B19">
        <v>101002</v>
      </c>
      <c r="C19">
        <v>6</v>
      </c>
      <c r="D19">
        <v>7680</v>
      </c>
      <c r="E19" t="s">
        <v>245</v>
      </c>
    </row>
    <row r="20" spans="1:5" x14ac:dyDescent="0.25">
      <c r="A20">
        <v>1010210</v>
      </c>
      <c r="B20">
        <v>101002</v>
      </c>
      <c r="C20">
        <v>7</v>
      </c>
      <c r="D20">
        <v>15360</v>
      </c>
      <c r="E20" t="s">
        <v>246</v>
      </c>
    </row>
    <row r="21" spans="1:5" x14ac:dyDescent="0.25">
      <c r="A21">
        <v>1010301</v>
      </c>
      <c r="B21">
        <v>101003</v>
      </c>
      <c r="C21">
        <v>1</v>
      </c>
      <c r="D21">
        <v>0</v>
      </c>
      <c r="E21">
        <v>0</v>
      </c>
    </row>
    <row r="22" spans="1:5" x14ac:dyDescent="0.25">
      <c r="A22">
        <v>1010302</v>
      </c>
      <c r="B22">
        <v>101003</v>
      </c>
      <c r="C22">
        <v>1</v>
      </c>
      <c r="D22">
        <v>10</v>
      </c>
      <c r="E22" t="s">
        <v>247</v>
      </c>
    </row>
    <row r="23" spans="1:5" x14ac:dyDescent="0.25">
      <c r="A23">
        <v>1010303</v>
      </c>
      <c r="B23">
        <v>101003</v>
      </c>
      <c r="C23">
        <v>1</v>
      </c>
      <c r="D23">
        <v>0</v>
      </c>
      <c r="E23">
        <v>0</v>
      </c>
    </row>
    <row r="24" spans="1:5" x14ac:dyDescent="0.25">
      <c r="A24">
        <v>1010304</v>
      </c>
      <c r="B24">
        <v>101003</v>
      </c>
      <c r="C24">
        <v>2</v>
      </c>
      <c r="D24">
        <v>30</v>
      </c>
      <c r="E24" t="s">
        <v>248</v>
      </c>
    </row>
    <row r="25" spans="1:5" x14ac:dyDescent="0.25">
      <c r="A25">
        <v>1010305</v>
      </c>
      <c r="B25">
        <v>101003</v>
      </c>
      <c r="C25">
        <v>1</v>
      </c>
      <c r="D25">
        <v>0</v>
      </c>
      <c r="E25">
        <v>0</v>
      </c>
    </row>
    <row r="26" spans="1:5" x14ac:dyDescent="0.25">
      <c r="A26">
        <v>1010306</v>
      </c>
      <c r="B26">
        <v>101003</v>
      </c>
      <c r="C26">
        <v>3</v>
      </c>
      <c r="D26">
        <v>50</v>
      </c>
      <c r="E26" t="s">
        <v>249</v>
      </c>
    </row>
    <row r="27" spans="1:5" x14ac:dyDescent="0.25">
      <c r="A27">
        <v>1010307</v>
      </c>
      <c r="B27">
        <v>101003</v>
      </c>
      <c r="C27">
        <v>4</v>
      </c>
      <c r="D27">
        <v>1920</v>
      </c>
      <c r="E27" t="s">
        <v>250</v>
      </c>
    </row>
    <row r="28" spans="1:5" x14ac:dyDescent="0.25">
      <c r="A28">
        <v>1010308</v>
      </c>
      <c r="B28">
        <v>101003</v>
      </c>
      <c r="C28">
        <v>5</v>
      </c>
      <c r="D28">
        <v>3840</v>
      </c>
      <c r="E28" t="s">
        <v>251</v>
      </c>
    </row>
    <row r="29" spans="1:5" x14ac:dyDescent="0.25">
      <c r="A29">
        <v>1010309</v>
      </c>
      <c r="B29">
        <v>101003</v>
      </c>
      <c r="C29">
        <v>6</v>
      </c>
      <c r="D29">
        <v>7680</v>
      </c>
      <c r="E29" t="s">
        <v>252</v>
      </c>
    </row>
    <row r="30" spans="1:5" x14ac:dyDescent="0.25">
      <c r="A30">
        <v>1010310</v>
      </c>
      <c r="B30">
        <v>101003</v>
      </c>
      <c r="C30">
        <v>7</v>
      </c>
      <c r="D30">
        <v>15360</v>
      </c>
      <c r="E30" t="s">
        <v>253</v>
      </c>
    </row>
    <row r="31" spans="1:5" x14ac:dyDescent="0.25">
      <c r="A31" t="s">
        <v>26</v>
      </c>
      <c r="B31">
        <v>102001</v>
      </c>
      <c r="C31">
        <v>1</v>
      </c>
      <c r="D31">
        <v>0</v>
      </c>
      <c r="E31">
        <v>0</v>
      </c>
    </row>
    <row r="32" spans="1:5" x14ac:dyDescent="0.25">
      <c r="A32">
        <v>1020202</v>
      </c>
      <c r="B32">
        <v>102001</v>
      </c>
      <c r="C32">
        <v>1</v>
      </c>
      <c r="D32">
        <v>10</v>
      </c>
      <c r="E32" t="s">
        <v>240</v>
      </c>
    </row>
    <row r="33" spans="1:5" x14ac:dyDescent="0.25">
      <c r="A33">
        <v>1020203</v>
      </c>
      <c r="B33">
        <v>102001</v>
      </c>
      <c r="C33">
        <v>1</v>
      </c>
      <c r="D33">
        <v>0</v>
      </c>
      <c r="E33">
        <v>0</v>
      </c>
    </row>
    <row r="34" spans="1:5" x14ac:dyDescent="0.25">
      <c r="A34">
        <v>1020204</v>
      </c>
      <c r="B34">
        <v>102001</v>
      </c>
      <c r="C34">
        <v>2</v>
      </c>
      <c r="D34">
        <v>30</v>
      </c>
      <c r="E34" t="s">
        <v>241</v>
      </c>
    </row>
    <row r="35" spans="1:5" x14ac:dyDescent="0.25">
      <c r="A35">
        <v>1020205</v>
      </c>
      <c r="B35">
        <v>102001</v>
      </c>
      <c r="C35">
        <v>1</v>
      </c>
      <c r="D35">
        <v>0</v>
      </c>
      <c r="E35">
        <v>0</v>
      </c>
    </row>
    <row r="36" spans="1:5" x14ac:dyDescent="0.25">
      <c r="A36">
        <v>1020206</v>
      </c>
      <c r="B36">
        <v>102001</v>
      </c>
      <c r="C36">
        <v>3</v>
      </c>
      <c r="D36">
        <v>50</v>
      </c>
      <c r="E36" t="s">
        <v>242</v>
      </c>
    </row>
    <row r="37" spans="1:5" x14ac:dyDescent="0.25">
      <c r="A37">
        <v>1020207</v>
      </c>
      <c r="B37">
        <v>102001</v>
      </c>
      <c r="C37">
        <v>4</v>
      </c>
      <c r="D37">
        <v>1920</v>
      </c>
      <c r="E37" t="s">
        <v>243</v>
      </c>
    </row>
    <row r="38" spans="1:5" x14ac:dyDescent="0.25">
      <c r="A38">
        <v>1020208</v>
      </c>
      <c r="B38">
        <v>102001</v>
      </c>
      <c r="C38">
        <v>5</v>
      </c>
      <c r="D38">
        <v>3840</v>
      </c>
      <c r="E38" t="s">
        <v>244</v>
      </c>
    </row>
    <row r="39" spans="1:5" x14ac:dyDescent="0.25">
      <c r="A39">
        <v>1020209</v>
      </c>
      <c r="B39">
        <v>102001</v>
      </c>
      <c r="C39">
        <v>6</v>
      </c>
      <c r="D39">
        <v>7680</v>
      </c>
      <c r="E39" t="s">
        <v>245</v>
      </c>
    </row>
    <row r="40" spans="1:5" x14ac:dyDescent="0.25">
      <c r="A40">
        <v>1020210</v>
      </c>
      <c r="B40">
        <v>102001</v>
      </c>
      <c r="C40">
        <v>7</v>
      </c>
      <c r="D40">
        <v>15360</v>
      </c>
      <c r="E40" t="s">
        <v>246</v>
      </c>
    </row>
    <row r="41" spans="1:5" x14ac:dyDescent="0.25">
      <c r="A41">
        <v>1020301</v>
      </c>
      <c r="B41">
        <v>102002</v>
      </c>
      <c r="C41">
        <v>1</v>
      </c>
      <c r="D41">
        <v>0</v>
      </c>
      <c r="E41">
        <v>0</v>
      </c>
    </row>
    <row r="42" spans="1:5" x14ac:dyDescent="0.25">
      <c r="A42">
        <v>1020302</v>
      </c>
      <c r="B42">
        <v>102002</v>
      </c>
      <c r="C42">
        <v>1</v>
      </c>
      <c r="D42">
        <v>10</v>
      </c>
      <c r="E42" t="s">
        <v>240</v>
      </c>
    </row>
    <row r="43" spans="1:5" x14ac:dyDescent="0.25">
      <c r="A43">
        <v>1020303</v>
      </c>
      <c r="B43">
        <v>102002</v>
      </c>
      <c r="C43">
        <v>1</v>
      </c>
      <c r="D43">
        <v>0</v>
      </c>
      <c r="E43">
        <v>0</v>
      </c>
    </row>
    <row r="44" spans="1:5" x14ac:dyDescent="0.25">
      <c r="A44">
        <v>1020304</v>
      </c>
      <c r="B44">
        <v>102002</v>
      </c>
      <c r="C44">
        <v>2</v>
      </c>
      <c r="D44">
        <v>30</v>
      </c>
      <c r="E44" t="s">
        <v>241</v>
      </c>
    </row>
    <row r="45" spans="1:5" x14ac:dyDescent="0.25">
      <c r="A45">
        <v>1020305</v>
      </c>
      <c r="B45">
        <v>102002</v>
      </c>
      <c r="C45">
        <v>1</v>
      </c>
      <c r="D45">
        <v>0</v>
      </c>
      <c r="E45">
        <v>0</v>
      </c>
    </row>
    <row r="46" spans="1:5" x14ac:dyDescent="0.25">
      <c r="A46">
        <v>1020306</v>
      </c>
      <c r="B46">
        <v>102002</v>
      </c>
      <c r="C46">
        <v>3</v>
      </c>
      <c r="D46">
        <v>50</v>
      </c>
      <c r="E46" t="s">
        <v>242</v>
      </c>
    </row>
    <row r="47" spans="1:5" x14ac:dyDescent="0.25">
      <c r="A47">
        <v>1020307</v>
      </c>
      <c r="B47">
        <v>102002</v>
      </c>
      <c r="C47">
        <v>4</v>
      </c>
      <c r="D47">
        <v>1920</v>
      </c>
      <c r="E47" t="s">
        <v>243</v>
      </c>
    </row>
    <row r="48" spans="1:5" x14ac:dyDescent="0.25">
      <c r="A48">
        <v>1020308</v>
      </c>
      <c r="B48">
        <v>102002</v>
      </c>
      <c r="C48">
        <v>5</v>
      </c>
      <c r="D48">
        <v>3840</v>
      </c>
      <c r="E48" t="s">
        <v>244</v>
      </c>
    </row>
    <row r="49" spans="1:5" x14ac:dyDescent="0.25">
      <c r="A49">
        <v>1020309</v>
      </c>
      <c r="B49">
        <v>102002</v>
      </c>
      <c r="C49">
        <v>6</v>
      </c>
      <c r="D49">
        <v>7680</v>
      </c>
      <c r="E49" t="s">
        <v>245</v>
      </c>
    </row>
    <row r="50" spans="1:5" x14ac:dyDescent="0.25">
      <c r="A50">
        <v>1020310</v>
      </c>
      <c r="B50">
        <v>102002</v>
      </c>
      <c r="C50">
        <v>7</v>
      </c>
      <c r="D50">
        <v>15360</v>
      </c>
      <c r="E50" t="s">
        <v>246</v>
      </c>
    </row>
    <row r="51" spans="1:5" x14ac:dyDescent="0.25">
      <c r="A51">
        <v>1020401</v>
      </c>
      <c r="B51">
        <v>102003</v>
      </c>
      <c r="C51">
        <v>1</v>
      </c>
      <c r="D51">
        <v>0</v>
      </c>
      <c r="E51">
        <v>0</v>
      </c>
    </row>
    <row r="52" spans="1:5" x14ac:dyDescent="0.25">
      <c r="A52">
        <v>1020402</v>
      </c>
      <c r="B52">
        <v>102003</v>
      </c>
      <c r="C52">
        <v>1</v>
      </c>
      <c r="D52">
        <v>10</v>
      </c>
      <c r="E52" t="s">
        <v>240</v>
      </c>
    </row>
    <row r="53" spans="1:5" x14ac:dyDescent="0.25">
      <c r="A53">
        <v>1020403</v>
      </c>
      <c r="B53">
        <v>102003</v>
      </c>
      <c r="C53">
        <v>1</v>
      </c>
      <c r="D53">
        <v>0</v>
      </c>
      <c r="E53">
        <v>0</v>
      </c>
    </row>
    <row r="54" spans="1:5" x14ac:dyDescent="0.25">
      <c r="A54">
        <v>1020404</v>
      </c>
      <c r="B54">
        <v>102003</v>
      </c>
      <c r="C54">
        <v>2</v>
      </c>
      <c r="D54">
        <v>30</v>
      </c>
      <c r="E54" t="s">
        <v>241</v>
      </c>
    </row>
    <row r="55" spans="1:5" x14ac:dyDescent="0.25">
      <c r="A55">
        <v>1020405</v>
      </c>
      <c r="B55">
        <v>102003</v>
      </c>
      <c r="C55">
        <v>1</v>
      </c>
      <c r="D55">
        <v>0</v>
      </c>
      <c r="E55">
        <v>0</v>
      </c>
    </row>
    <row r="56" spans="1:5" x14ac:dyDescent="0.25">
      <c r="A56">
        <v>1020406</v>
      </c>
      <c r="B56">
        <v>102003</v>
      </c>
      <c r="C56">
        <v>3</v>
      </c>
      <c r="D56">
        <v>50</v>
      </c>
      <c r="E56" t="s">
        <v>242</v>
      </c>
    </row>
    <row r="57" spans="1:5" x14ac:dyDescent="0.25">
      <c r="A57">
        <v>1020407</v>
      </c>
      <c r="B57">
        <v>102003</v>
      </c>
      <c r="C57">
        <v>4</v>
      </c>
      <c r="D57">
        <v>1920</v>
      </c>
      <c r="E57" t="s">
        <v>243</v>
      </c>
    </row>
    <row r="58" spans="1:5" x14ac:dyDescent="0.25">
      <c r="A58">
        <v>1020408</v>
      </c>
      <c r="B58">
        <v>102003</v>
      </c>
      <c r="C58">
        <v>5</v>
      </c>
      <c r="D58">
        <v>3840</v>
      </c>
      <c r="E58" t="s">
        <v>244</v>
      </c>
    </row>
    <row r="59" spans="1:5" x14ac:dyDescent="0.25">
      <c r="A59">
        <v>1020409</v>
      </c>
      <c r="B59">
        <v>102003</v>
      </c>
      <c r="C59">
        <v>6</v>
      </c>
      <c r="D59">
        <v>7680</v>
      </c>
      <c r="E59" t="s">
        <v>245</v>
      </c>
    </row>
    <row r="60" spans="1:5" x14ac:dyDescent="0.25">
      <c r="A60">
        <v>1020410</v>
      </c>
      <c r="B60">
        <v>102003</v>
      </c>
      <c r="C60">
        <v>7</v>
      </c>
      <c r="D60">
        <v>15360</v>
      </c>
      <c r="E60" t="s">
        <v>246</v>
      </c>
    </row>
    <row r="61" spans="1:5" x14ac:dyDescent="0.25">
      <c r="A61">
        <v>1020501</v>
      </c>
      <c r="B61">
        <v>102005</v>
      </c>
      <c r="C61">
        <v>1</v>
      </c>
      <c r="D61">
        <v>0</v>
      </c>
      <c r="E61">
        <v>0</v>
      </c>
    </row>
    <row r="62" spans="1:5" x14ac:dyDescent="0.25">
      <c r="A62">
        <v>1020502</v>
      </c>
      <c r="B62">
        <v>102005</v>
      </c>
      <c r="C62">
        <v>1</v>
      </c>
      <c r="D62">
        <v>10</v>
      </c>
      <c r="E62" t="s">
        <v>247</v>
      </c>
    </row>
    <row r="63" spans="1:5" x14ac:dyDescent="0.25">
      <c r="A63">
        <v>1020503</v>
      </c>
      <c r="B63">
        <v>102005</v>
      </c>
      <c r="C63">
        <v>1</v>
      </c>
      <c r="D63">
        <v>0</v>
      </c>
      <c r="E63">
        <v>0</v>
      </c>
    </row>
    <row r="64" spans="1:5" x14ac:dyDescent="0.25">
      <c r="A64">
        <v>1020504</v>
      </c>
      <c r="B64">
        <v>102005</v>
      </c>
      <c r="C64">
        <v>2</v>
      </c>
      <c r="D64">
        <v>30</v>
      </c>
      <c r="E64" t="s">
        <v>248</v>
      </c>
    </row>
    <row r="65" spans="1:5" x14ac:dyDescent="0.25">
      <c r="A65">
        <v>1020505</v>
      </c>
      <c r="B65">
        <v>102005</v>
      </c>
      <c r="C65">
        <v>1</v>
      </c>
      <c r="D65">
        <v>0</v>
      </c>
      <c r="E65">
        <v>0</v>
      </c>
    </row>
    <row r="66" spans="1:5" x14ac:dyDescent="0.25">
      <c r="A66">
        <v>1020506</v>
      </c>
      <c r="B66">
        <v>102005</v>
      </c>
      <c r="C66">
        <v>3</v>
      </c>
      <c r="D66">
        <v>50</v>
      </c>
      <c r="E66" t="s">
        <v>249</v>
      </c>
    </row>
    <row r="67" spans="1:5" x14ac:dyDescent="0.25">
      <c r="A67">
        <v>1020507</v>
      </c>
      <c r="B67">
        <v>102005</v>
      </c>
      <c r="C67">
        <v>4</v>
      </c>
      <c r="D67">
        <v>1920</v>
      </c>
      <c r="E67" t="s">
        <v>250</v>
      </c>
    </row>
    <row r="68" spans="1:5" x14ac:dyDescent="0.25">
      <c r="A68">
        <v>1020508</v>
      </c>
      <c r="B68">
        <v>102005</v>
      </c>
      <c r="C68">
        <v>5</v>
      </c>
      <c r="D68">
        <v>3840</v>
      </c>
      <c r="E68" t="s">
        <v>251</v>
      </c>
    </row>
    <row r="69" spans="1:5" x14ac:dyDescent="0.25">
      <c r="A69">
        <v>1020509</v>
      </c>
      <c r="B69">
        <v>102005</v>
      </c>
      <c r="C69">
        <v>6</v>
      </c>
      <c r="D69">
        <v>7680</v>
      </c>
      <c r="E69" t="s">
        <v>252</v>
      </c>
    </row>
    <row r="70" spans="1:5" x14ac:dyDescent="0.25">
      <c r="A70">
        <v>1020510</v>
      </c>
      <c r="B70">
        <v>102005</v>
      </c>
      <c r="C70">
        <v>7</v>
      </c>
      <c r="D70">
        <v>15360</v>
      </c>
      <c r="E70" t="s">
        <v>253</v>
      </c>
    </row>
    <row r="71" spans="1:5" x14ac:dyDescent="0.25">
      <c r="A71">
        <v>1020601</v>
      </c>
      <c r="B71">
        <v>102006</v>
      </c>
      <c r="C71">
        <v>1</v>
      </c>
      <c r="D71">
        <v>0</v>
      </c>
      <c r="E71">
        <v>0</v>
      </c>
    </row>
    <row r="72" spans="1:5" x14ac:dyDescent="0.25">
      <c r="A72">
        <v>1020602</v>
      </c>
      <c r="B72">
        <v>102006</v>
      </c>
      <c r="C72">
        <v>1</v>
      </c>
      <c r="D72">
        <v>10</v>
      </c>
      <c r="E72" t="s">
        <v>240</v>
      </c>
    </row>
    <row r="73" spans="1:5" x14ac:dyDescent="0.25">
      <c r="A73">
        <v>1020603</v>
      </c>
      <c r="B73">
        <v>102006</v>
      </c>
      <c r="C73">
        <v>1</v>
      </c>
      <c r="D73">
        <v>0</v>
      </c>
      <c r="E73">
        <v>0</v>
      </c>
    </row>
    <row r="74" spans="1:5" x14ac:dyDescent="0.25">
      <c r="A74">
        <v>1020604</v>
      </c>
      <c r="B74">
        <v>102006</v>
      </c>
      <c r="C74">
        <v>2</v>
      </c>
      <c r="D74">
        <v>30</v>
      </c>
      <c r="E74" t="s">
        <v>241</v>
      </c>
    </row>
    <row r="75" spans="1:5" x14ac:dyDescent="0.25">
      <c r="A75">
        <v>1020605</v>
      </c>
      <c r="B75">
        <v>102006</v>
      </c>
      <c r="C75">
        <v>1</v>
      </c>
      <c r="D75">
        <v>0</v>
      </c>
      <c r="E75">
        <v>0</v>
      </c>
    </row>
    <row r="76" spans="1:5" x14ac:dyDescent="0.25">
      <c r="A76">
        <v>1020606</v>
      </c>
      <c r="B76">
        <v>102006</v>
      </c>
      <c r="C76">
        <v>3</v>
      </c>
      <c r="D76">
        <v>50</v>
      </c>
      <c r="E76" t="s">
        <v>242</v>
      </c>
    </row>
    <row r="77" spans="1:5" x14ac:dyDescent="0.25">
      <c r="A77">
        <v>1020607</v>
      </c>
      <c r="B77">
        <v>102006</v>
      </c>
      <c r="C77">
        <v>4</v>
      </c>
      <c r="D77">
        <v>1920</v>
      </c>
      <c r="E77" t="s">
        <v>243</v>
      </c>
    </row>
    <row r="78" spans="1:5" x14ac:dyDescent="0.25">
      <c r="A78">
        <v>1020608</v>
      </c>
      <c r="B78">
        <v>102006</v>
      </c>
      <c r="C78">
        <v>5</v>
      </c>
      <c r="D78">
        <v>3840</v>
      </c>
      <c r="E78" t="s">
        <v>244</v>
      </c>
    </row>
    <row r="79" spans="1:5" x14ac:dyDescent="0.25">
      <c r="A79">
        <v>1020609</v>
      </c>
      <c r="B79">
        <v>102006</v>
      </c>
      <c r="C79">
        <v>6</v>
      </c>
      <c r="D79">
        <v>7680</v>
      </c>
      <c r="E79" t="s">
        <v>245</v>
      </c>
    </row>
    <row r="80" spans="1:5" x14ac:dyDescent="0.25">
      <c r="A80">
        <v>1020610</v>
      </c>
      <c r="B80">
        <v>102006</v>
      </c>
      <c r="C80">
        <v>7</v>
      </c>
      <c r="D80">
        <v>15360</v>
      </c>
      <c r="E80" t="s">
        <v>246</v>
      </c>
    </row>
    <row r="81" spans="1:5" x14ac:dyDescent="0.25">
      <c r="A81">
        <v>1030101</v>
      </c>
      <c r="B81">
        <v>103001</v>
      </c>
      <c r="C81">
        <v>1</v>
      </c>
      <c r="D81">
        <v>0</v>
      </c>
      <c r="E81">
        <v>0</v>
      </c>
    </row>
    <row r="82" spans="1:5" x14ac:dyDescent="0.25">
      <c r="A82">
        <v>1030102</v>
      </c>
      <c r="B82">
        <v>103001</v>
      </c>
      <c r="C82">
        <v>1</v>
      </c>
      <c r="D82">
        <v>10</v>
      </c>
      <c r="E82" t="s">
        <v>240</v>
      </c>
    </row>
    <row r="83" spans="1:5" x14ac:dyDescent="0.25">
      <c r="A83">
        <v>1030103</v>
      </c>
      <c r="B83">
        <v>103001</v>
      </c>
      <c r="C83">
        <v>1</v>
      </c>
      <c r="D83">
        <v>0</v>
      </c>
      <c r="E83">
        <v>0</v>
      </c>
    </row>
    <row r="84" spans="1:5" x14ac:dyDescent="0.25">
      <c r="A84">
        <v>1030104</v>
      </c>
      <c r="B84">
        <v>103001</v>
      </c>
      <c r="C84">
        <v>2</v>
      </c>
      <c r="D84">
        <v>30</v>
      </c>
      <c r="E84" t="s">
        <v>241</v>
      </c>
    </row>
    <row r="85" spans="1:5" x14ac:dyDescent="0.25">
      <c r="A85">
        <v>1030105</v>
      </c>
      <c r="B85">
        <v>103001</v>
      </c>
      <c r="C85">
        <v>1</v>
      </c>
      <c r="D85">
        <v>0</v>
      </c>
      <c r="E85">
        <v>0</v>
      </c>
    </row>
    <row r="86" spans="1:5" x14ac:dyDescent="0.25">
      <c r="A86">
        <v>1030106</v>
      </c>
      <c r="B86">
        <v>103001</v>
      </c>
      <c r="C86">
        <v>3</v>
      </c>
      <c r="D86">
        <v>50</v>
      </c>
      <c r="E86" t="s">
        <v>242</v>
      </c>
    </row>
    <row r="87" spans="1:5" x14ac:dyDescent="0.25">
      <c r="A87">
        <v>1030107</v>
      </c>
      <c r="B87">
        <v>103001</v>
      </c>
      <c r="C87">
        <v>4</v>
      </c>
      <c r="D87">
        <v>1920</v>
      </c>
      <c r="E87" t="s">
        <v>243</v>
      </c>
    </row>
    <row r="88" spans="1:5" x14ac:dyDescent="0.25">
      <c r="A88">
        <v>1030108</v>
      </c>
      <c r="B88">
        <v>103001</v>
      </c>
      <c r="C88">
        <v>5</v>
      </c>
      <c r="D88">
        <v>3840</v>
      </c>
      <c r="E88" t="s">
        <v>244</v>
      </c>
    </row>
    <row r="89" spans="1:5" x14ac:dyDescent="0.25">
      <c r="A89">
        <v>1030109</v>
      </c>
      <c r="B89">
        <v>103001</v>
      </c>
      <c r="C89">
        <v>6</v>
      </c>
      <c r="D89">
        <v>7680</v>
      </c>
      <c r="E89" t="s">
        <v>245</v>
      </c>
    </row>
    <row r="90" spans="1:5" x14ac:dyDescent="0.25">
      <c r="A90">
        <v>1030110</v>
      </c>
      <c r="B90">
        <v>103001</v>
      </c>
      <c r="C90">
        <v>7</v>
      </c>
      <c r="D90">
        <v>15360</v>
      </c>
      <c r="E90" t="s">
        <v>246</v>
      </c>
    </row>
    <row r="91" spans="1:5" x14ac:dyDescent="0.25">
      <c r="A91">
        <v>1040101</v>
      </c>
      <c r="B91">
        <v>104001</v>
      </c>
      <c r="C91">
        <v>1</v>
      </c>
      <c r="D91">
        <v>0</v>
      </c>
      <c r="E91">
        <v>0</v>
      </c>
    </row>
    <row r="92" spans="1:5" x14ac:dyDescent="0.25">
      <c r="A92">
        <v>1040102</v>
      </c>
      <c r="B92">
        <v>104001</v>
      </c>
      <c r="C92">
        <v>1</v>
      </c>
      <c r="D92">
        <v>10</v>
      </c>
      <c r="E92" t="s">
        <v>240</v>
      </c>
    </row>
    <row r="93" spans="1:5" x14ac:dyDescent="0.25">
      <c r="A93">
        <v>1040103</v>
      </c>
      <c r="B93">
        <v>104001</v>
      </c>
      <c r="C93">
        <v>1</v>
      </c>
      <c r="D93">
        <v>0</v>
      </c>
      <c r="E93">
        <v>0</v>
      </c>
    </row>
    <row r="94" spans="1:5" x14ac:dyDescent="0.25">
      <c r="A94">
        <v>1040104</v>
      </c>
      <c r="B94">
        <v>104001</v>
      </c>
      <c r="C94">
        <v>2</v>
      </c>
      <c r="D94">
        <v>30</v>
      </c>
      <c r="E94" t="s">
        <v>241</v>
      </c>
    </row>
    <row r="95" spans="1:5" x14ac:dyDescent="0.25">
      <c r="A95">
        <v>1040105</v>
      </c>
      <c r="B95">
        <v>104001</v>
      </c>
      <c r="C95">
        <v>1</v>
      </c>
      <c r="D95">
        <v>0</v>
      </c>
      <c r="E95">
        <v>0</v>
      </c>
    </row>
    <row r="96" spans="1:5" x14ac:dyDescent="0.25">
      <c r="A96">
        <v>1040106</v>
      </c>
      <c r="B96">
        <v>104001</v>
      </c>
      <c r="C96">
        <v>3</v>
      </c>
      <c r="D96">
        <v>50</v>
      </c>
      <c r="E96" t="s">
        <v>242</v>
      </c>
    </row>
    <row r="97" spans="1:5" x14ac:dyDescent="0.25">
      <c r="A97">
        <v>1040107</v>
      </c>
      <c r="B97">
        <v>104001</v>
      </c>
      <c r="C97">
        <v>4</v>
      </c>
      <c r="D97">
        <v>1920</v>
      </c>
      <c r="E97" t="s">
        <v>243</v>
      </c>
    </row>
    <row r="98" spans="1:5" x14ac:dyDescent="0.25">
      <c r="A98">
        <v>1040108</v>
      </c>
      <c r="B98">
        <v>104001</v>
      </c>
      <c r="C98">
        <v>5</v>
      </c>
      <c r="D98">
        <v>3840</v>
      </c>
      <c r="E98" t="s">
        <v>244</v>
      </c>
    </row>
    <row r="99" spans="1:5" x14ac:dyDescent="0.25">
      <c r="A99">
        <v>1040109</v>
      </c>
      <c r="B99">
        <v>104001</v>
      </c>
      <c r="C99">
        <v>6</v>
      </c>
      <c r="D99">
        <v>7680</v>
      </c>
      <c r="E99" t="s">
        <v>245</v>
      </c>
    </row>
    <row r="100" spans="1:5" x14ac:dyDescent="0.25">
      <c r="A100">
        <v>1040110</v>
      </c>
      <c r="B100">
        <v>104001</v>
      </c>
      <c r="C100">
        <v>7</v>
      </c>
      <c r="D100">
        <v>15360</v>
      </c>
      <c r="E100" t="s">
        <v>246</v>
      </c>
    </row>
    <row r="101" spans="1:5" x14ac:dyDescent="0.25">
      <c r="A101">
        <v>1040201</v>
      </c>
      <c r="B101">
        <v>104002</v>
      </c>
      <c r="C101">
        <v>1</v>
      </c>
      <c r="D101">
        <v>0</v>
      </c>
      <c r="E101">
        <v>0</v>
      </c>
    </row>
    <row r="102" spans="1:5" x14ac:dyDescent="0.25">
      <c r="A102">
        <v>1040202</v>
      </c>
      <c r="B102">
        <v>104002</v>
      </c>
      <c r="C102">
        <v>1</v>
      </c>
      <c r="D102">
        <v>10</v>
      </c>
      <c r="E102" t="s">
        <v>240</v>
      </c>
    </row>
    <row r="103" spans="1:5" x14ac:dyDescent="0.25">
      <c r="A103">
        <v>1040203</v>
      </c>
      <c r="B103">
        <v>104002</v>
      </c>
      <c r="C103">
        <v>1</v>
      </c>
      <c r="D103">
        <v>0</v>
      </c>
      <c r="E103">
        <v>0</v>
      </c>
    </row>
    <row r="104" spans="1:5" x14ac:dyDescent="0.25">
      <c r="A104">
        <v>1040204</v>
      </c>
      <c r="B104">
        <v>104002</v>
      </c>
      <c r="C104">
        <v>2</v>
      </c>
      <c r="D104">
        <v>30</v>
      </c>
      <c r="E104" t="s">
        <v>241</v>
      </c>
    </row>
    <row r="105" spans="1:5" x14ac:dyDescent="0.25">
      <c r="A105">
        <v>1040205</v>
      </c>
      <c r="B105">
        <v>104002</v>
      </c>
      <c r="C105">
        <v>1</v>
      </c>
      <c r="D105">
        <v>0</v>
      </c>
      <c r="E105">
        <v>0</v>
      </c>
    </row>
    <row r="106" spans="1:5" x14ac:dyDescent="0.25">
      <c r="A106">
        <v>1040206</v>
      </c>
      <c r="B106">
        <v>104002</v>
      </c>
      <c r="C106">
        <v>3</v>
      </c>
      <c r="D106">
        <v>50</v>
      </c>
      <c r="E106" t="s">
        <v>242</v>
      </c>
    </row>
    <row r="107" spans="1:5" x14ac:dyDescent="0.25">
      <c r="A107">
        <v>1040207</v>
      </c>
      <c r="B107">
        <v>104002</v>
      </c>
      <c r="C107">
        <v>4</v>
      </c>
      <c r="D107">
        <v>1920</v>
      </c>
      <c r="E107" t="s">
        <v>243</v>
      </c>
    </row>
    <row r="108" spans="1:5" x14ac:dyDescent="0.25">
      <c r="A108">
        <v>1040208</v>
      </c>
      <c r="B108">
        <v>104002</v>
      </c>
      <c r="C108">
        <v>5</v>
      </c>
      <c r="D108">
        <v>3840</v>
      </c>
      <c r="E108" t="s">
        <v>244</v>
      </c>
    </row>
    <row r="109" spans="1:5" x14ac:dyDescent="0.25">
      <c r="A109">
        <v>1040209</v>
      </c>
      <c r="B109">
        <v>104002</v>
      </c>
      <c r="C109">
        <v>6</v>
      </c>
      <c r="D109">
        <v>7680</v>
      </c>
      <c r="E109" t="s">
        <v>245</v>
      </c>
    </row>
    <row r="110" spans="1:5" x14ac:dyDescent="0.25">
      <c r="A110">
        <v>1040210</v>
      </c>
      <c r="B110">
        <v>104002</v>
      </c>
      <c r="C110">
        <v>7</v>
      </c>
      <c r="D110">
        <v>15360</v>
      </c>
      <c r="E110" t="s">
        <v>246</v>
      </c>
    </row>
    <row r="111" spans="1:5" x14ac:dyDescent="0.25">
      <c r="A111">
        <v>1040301</v>
      </c>
      <c r="B111">
        <v>104003</v>
      </c>
      <c r="C111">
        <v>1</v>
      </c>
      <c r="D111">
        <v>0</v>
      </c>
      <c r="E111">
        <v>0</v>
      </c>
    </row>
    <row r="112" spans="1:5" x14ac:dyDescent="0.25">
      <c r="A112">
        <v>1040302</v>
      </c>
      <c r="B112">
        <v>104003</v>
      </c>
      <c r="C112">
        <v>1</v>
      </c>
      <c r="D112">
        <v>10</v>
      </c>
      <c r="E112" t="s">
        <v>247</v>
      </c>
    </row>
    <row r="113" spans="1:5" x14ac:dyDescent="0.25">
      <c r="A113">
        <v>1040303</v>
      </c>
      <c r="B113">
        <v>104003</v>
      </c>
      <c r="C113">
        <v>1</v>
      </c>
      <c r="D113">
        <v>0</v>
      </c>
      <c r="E113">
        <v>0</v>
      </c>
    </row>
    <row r="114" spans="1:5" x14ac:dyDescent="0.25">
      <c r="A114">
        <v>1040304</v>
      </c>
      <c r="B114">
        <v>104003</v>
      </c>
      <c r="C114">
        <v>2</v>
      </c>
      <c r="D114">
        <v>30</v>
      </c>
      <c r="E114" t="s">
        <v>248</v>
      </c>
    </row>
    <row r="115" spans="1:5" x14ac:dyDescent="0.25">
      <c r="A115">
        <v>1040305</v>
      </c>
      <c r="B115">
        <v>104003</v>
      </c>
      <c r="C115">
        <v>1</v>
      </c>
      <c r="D115">
        <v>0</v>
      </c>
      <c r="E115">
        <v>0</v>
      </c>
    </row>
    <row r="116" spans="1:5" x14ac:dyDescent="0.25">
      <c r="A116">
        <v>1040306</v>
      </c>
      <c r="B116">
        <v>104003</v>
      </c>
      <c r="C116">
        <v>3</v>
      </c>
      <c r="D116">
        <v>50</v>
      </c>
      <c r="E116" t="s">
        <v>249</v>
      </c>
    </row>
    <row r="117" spans="1:5" x14ac:dyDescent="0.25">
      <c r="A117">
        <v>1040307</v>
      </c>
      <c r="B117">
        <v>104003</v>
      </c>
      <c r="C117">
        <v>4</v>
      </c>
      <c r="D117">
        <v>1920</v>
      </c>
      <c r="E117" t="s">
        <v>250</v>
      </c>
    </row>
    <row r="118" spans="1:5" x14ac:dyDescent="0.25">
      <c r="A118">
        <v>1040308</v>
      </c>
      <c r="B118">
        <v>104003</v>
      </c>
      <c r="C118">
        <v>5</v>
      </c>
      <c r="D118">
        <v>3840</v>
      </c>
      <c r="E118" t="s">
        <v>251</v>
      </c>
    </row>
    <row r="119" spans="1:5" x14ac:dyDescent="0.25">
      <c r="A119">
        <v>1040309</v>
      </c>
      <c r="B119">
        <v>104003</v>
      </c>
      <c r="C119">
        <v>6</v>
      </c>
      <c r="D119">
        <v>7680</v>
      </c>
      <c r="E119" t="s">
        <v>252</v>
      </c>
    </row>
    <row r="120" spans="1:5" x14ac:dyDescent="0.25">
      <c r="A120">
        <v>1040310</v>
      </c>
      <c r="B120">
        <v>104003</v>
      </c>
      <c r="C120">
        <v>7</v>
      </c>
      <c r="D120">
        <v>15360</v>
      </c>
      <c r="E120" t="s">
        <v>253</v>
      </c>
    </row>
    <row r="121" spans="1:5" x14ac:dyDescent="0.25">
      <c r="A121">
        <v>1050101</v>
      </c>
      <c r="B121">
        <v>105001</v>
      </c>
      <c r="C121">
        <v>1</v>
      </c>
      <c r="D121">
        <v>0</v>
      </c>
      <c r="E121">
        <v>0</v>
      </c>
    </row>
    <row r="122" spans="1:5" x14ac:dyDescent="0.25">
      <c r="A122">
        <v>1050102</v>
      </c>
      <c r="B122">
        <v>105001</v>
      </c>
      <c r="C122">
        <v>1</v>
      </c>
      <c r="D122">
        <v>10</v>
      </c>
      <c r="E122" t="s">
        <v>247</v>
      </c>
    </row>
    <row r="123" spans="1:5" x14ac:dyDescent="0.25">
      <c r="A123">
        <v>1050103</v>
      </c>
      <c r="B123">
        <v>105001</v>
      </c>
      <c r="C123">
        <v>1</v>
      </c>
      <c r="D123">
        <v>0</v>
      </c>
      <c r="E123">
        <v>0</v>
      </c>
    </row>
    <row r="124" spans="1:5" x14ac:dyDescent="0.25">
      <c r="A124">
        <v>1050104</v>
      </c>
      <c r="B124">
        <v>105001</v>
      </c>
      <c r="C124">
        <v>2</v>
      </c>
      <c r="D124">
        <v>30</v>
      </c>
      <c r="E124" t="s">
        <v>248</v>
      </c>
    </row>
    <row r="125" spans="1:5" x14ac:dyDescent="0.25">
      <c r="A125">
        <v>1050105</v>
      </c>
      <c r="B125">
        <v>105001</v>
      </c>
      <c r="C125">
        <v>1</v>
      </c>
      <c r="D125">
        <v>0</v>
      </c>
      <c r="E125">
        <v>0</v>
      </c>
    </row>
    <row r="126" spans="1:5" x14ac:dyDescent="0.25">
      <c r="A126">
        <v>1050106</v>
      </c>
      <c r="B126">
        <v>105001</v>
      </c>
      <c r="C126">
        <v>3</v>
      </c>
      <c r="D126">
        <v>50</v>
      </c>
      <c r="E126" t="s">
        <v>249</v>
      </c>
    </row>
    <row r="127" spans="1:5" x14ac:dyDescent="0.25">
      <c r="A127">
        <v>1050107</v>
      </c>
      <c r="B127">
        <v>105001</v>
      </c>
      <c r="C127">
        <v>4</v>
      </c>
      <c r="D127">
        <v>1920</v>
      </c>
      <c r="E127" t="s">
        <v>250</v>
      </c>
    </row>
    <row r="128" spans="1:5" x14ac:dyDescent="0.25">
      <c r="A128">
        <v>1050108</v>
      </c>
      <c r="B128">
        <v>105001</v>
      </c>
      <c r="C128">
        <v>5</v>
      </c>
      <c r="D128">
        <v>3840</v>
      </c>
      <c r="E128" t="s">
        <v>251</v>
      </c>
    </row>
    <row r="129" spans="1:5" x14ac:dyDescent="0.25">
      <c r="A129">
        <v>1050109</v>
      </c>
      <c r="B129">
        <v>105001</v>
      </c>
      <c r="C129">
        <v>6</v>
      </c>
      <c r="D129">
        <v>7680</v>
      </c>
      <c r="E129" t="s">
        <v>252</v>
      </c>
    </row>
    <row r="130" spans="1:5" x14ac:dyDescent="0.25">
      <c r="A130">
        <v>1050110</v>
      </c>
      <c r="B130">
        <v>105001</v>
      </c>
      <c r="C130">
        <v>7</v>
      </c>
      <c r="D130">
        <v>15360</v>
      </c>
      <c r="E130" t="s">
        <v>253</v>
      </c>
    </row>
    <row r="131" spans="1:5" x14ac:dyDescent="0.25">
      <c r="A131">
        <v>1060101</v>
      </c>
      <c r="B131">
        <v>106001</v>
      </c>
      <c r="C131">
        <v>1</v>
      </c>
      <c r="D131">
        <v>0</v>
      </c>
      <c r="E131">
        <v>0</v>
      </c>
    </row>
    <row r="132" spans="1:5" x14ac:dyDescent="0.25">
      <c r="A132">
        <v>1060102</v>
      </c>
      <c r="B132">
        <v>106001</v>
      </c>
      <c r="C132">
        <v>1</v>
      </c>
      <c r="D132">
        <v>10</v>
      </c>
      <c r="E132" t="s">
        <v>247</v>
      </c>
    </row>
    <row r="133" spans="1:5" x14ac:dyDescent="0.25">
      <c r="A133">
        <v>1060103</v>
      </c>
      <c r="B133">
        <v>106001</v>
      </c>
      <c r="C133">
        <v>1</v>
      </c>
      <c r="D133">
        <v>0</v>
      </c>
      <c r="E133">
        <v>0</v>
      </c>
    </row>
    <row r="134" spans="1:5" x14ac:dyDescent="0.25">
      <c r="A134">
        <v>1060104</v>
      </c>
      <c r="B134">
        <v>106001</v>
      </c>
      <c r="C134">
        <v>2</v>
      </c>
      <c r="D134">
        <v>30</v>
      </c>
      <c r="E134" t="s">
        <v>248</v>
      </c>
    </row>
    <row r="135" spans="1:5" x14ac:dyDescent="0.25">
      <c r="A135">
        <v>1060105</v>
      </c>
      <c r="B135">
        <v>106001</v>
      </c>
      <c r="C135">
        <v>1</v>
      </c>
      <c r="D135">
        <v>0</v>
      </c>
      <c r="E135">
        <v>0</v>
      </c>
    </row>
    <row r="136" spans="1:5" x14ac:dyDescent="0.25">
      <c r="A136">
        <v>1060106</v>
      </c>
      <c r="B136">
        <v>106001</v>
      </c>
      <c r="C136">
        <v>3</v>
      </c>
      <c r="D136">
        <v>50</v>
      </c>
      <c r="E136" t="s">
        <v>249</v>
      </c>
    </row>
    <row r="137" spans="1:5" x14ac:dyDescent="0.25">
      <c r="A137">
        <v>1060107</v>
      </c>
      <c r="B137">
        <v>106001</v>
      </c>
      <c r="C137">
        <v>4</v>
      </c>
      <c r="D137">
        <v>1920</v>
      </c>
      <c r="E137" t="s">
        <v>250</v>
      </c>
    </row>
    <row r="138" spans="1:5" x14ac:dyDescent="0.25">
      <c r="A138">
        <v>1060108</v>
      </c>
      <c r="B138">
        <v>106001</v>
      </c>
      <c r="C138">
        <v>5</v>
      </c>
      <c r="D138">
        <v>3840</v>
      </c>
      <c r="E138" t="s">
        <v>251</v>
      </c>
    </row>
    <row r="139" spans="1:5" x14ac:dyDescent="0.25">
      <c r="A139">
        <v>1060109</v>
      </c>
      <c r="B139">
        <v>106001</v>
      </c>
      <c r="C139">
        <v>6</v>
      </c>
      <c r="D139">
        <v>7680</v>
      </c>
      <c r="E139" t="s">
        <v>252</v>
      </c>
    </row>
    <row r="140" spans="1:5" x14ac:dyDescent="0.25">
      <c r="A140">
        <v>1060110</v>
      </c>
      <c r="B140">
        <v>106001</v>
      </c>
      <c r="C140">
        <v>7</v>
      </c>
      <c r="D140">
        <v>15360</v>
      </c>
      <c r="E140" t="s">
        <v>253</v>
      </c>
    </row>
    <row r="141" spans="1:5" x14ac:dyDescent="0.25">
      <c r="A141">
        <v>1090101</v>
      </c>
      <c r="B141">
        <v>109001</v>
      </c>
      <c r="C141">
        <v>1</v>
      </c>
      <c r="D141">
        <v>0</v>
      </c>
      <c r="E141">
        <v>0</v>
      </c>
    </row>
    <row r="142" spans="1:5" x14ac:dyDescent="0.25">
      <c r="A142">
        <v>1090102</v>
      </c>
      <c r="B142">
        <v>109001</v>
      </c>
      <c r="C142">
        <v>1</v>
      </c>
      <c r="D142">
        <v>10</v>
      </c>
      <c r="E142" t="s">
        <v>240</v>
      </c>
    </row>
    <row r="143" spans="1:5" x14ac:dyDescent="0.25">
      <c r="A143">
        <v>1090103</v>
      </c>
      <c r="B143">
        <v>109001</v>
      </c>
      <c r="C143">
        <v>1</v>
      </c>
      <c r="D143">
        <v>0</v>
      </c>
      <c r="E143">
        <v>0</v>
      </c>
    </row>
    <row r="144" spans="1:5" x14ac:dyDescent="0.25">
      <c r="A144">
        <v>1090104</v>
      </c>
      <c r="B144">
        <v>109001</v>
      </c>
      <c r="C144">
        <v>2</v>
      </c>
      <c r="D144">
        <v>30</v>
      </c>
      <c r="E144" t="s">
        <v>241</v>
      </c>
    </row>
    <row r="145" spans="1:5" x14ac:dyDescent="0.25">
      <c r="A145">
        <v>1090105</v>
      </c>
      <c r="B145">
        <v>109001</v>
      </c>
      <c r="C145">
        <v>1</v>
      </c>
      <c r="D145">
        <v>0</v>
      </c>
      <c r="E145">
        <v>0</v>
      </c>
    </row>
    <row r="146" spans="1:5" x14ac:dyDescent="0.25">
      <c r="A146">
        <v>1090106</v>
      </c>
      <c r="B146">
        <v>109001</v>
      </c>
      <c r="C146">
        <v>3</v>
      </c>
      <c r="D146">
        <v>50</v>
      </c>
      <c r="E146" t="s">
        <v>242</v>
      </c>
    </row>
    <row r="147" spans="1:5" x14ac:dyDescent="0.25">
      <c r="A147">
        <v>1090107</v>
      </c>
      <c r="B147">
        <v>109001</v>
      </c>
      <c r="C147">
        <v>4</v>
      </c>
      <c r="D147">
        <v>1920</v>
      </c>
      <c r="E147" t="s">
        <v>243</v>
      </c>
    </row>
    <row r="148" spans="1:5" x14ac:dyDescent="0.25">
      <c r="A148">
        <v>1090108</v>
      </c>
      <c r="B148">
        <v>109001</v>
      </c>
      <c r="C148">
        <v>5</v>
      </c>
      <c r="D148">
        <v>3840</v>
      </c>
      <c r="E148" t="s">
        <v>244</v>
      </c>
    </row>
    <row r="149" spans="1:5" x14ac:dyDescent="0.25">
      <c r="A149">
        <v>1090109</v>
      </c>
      <c r="B149">
        <v>109001</v>
      </c>
      <c r="C149">
        <v>6</v>
      </c>
      <c r="D149">
        <v>7680</v>
      </c>
      <c r="E149" t="s">
        <v>245</v>
      </c>
    </row>
    <row r="150" spans="1:5" x14ac:dyDescent="0.25">
      <c r="A150">
        <v>1090110</v>
      </c>
      <c r="B150">
        <v>109001</v>
      </c>
      <c r="C150">
        <v>7</v>
      </c>
      <c r="D150">
        <v>15360</v>
      </c>
      <c r="E150" t="s">
        <v>246</v>
      </c>
    </row>
    <row r="151" spans="1:5" x14ac:dyDescent="0.25">
      <c r="A151">
        <v>1100101</v>
      </c>
      <c r="B151">
        <v>110001</v>
      </c>
      <c r="C151">
        <v>1</v>
      </c>
      <c r="D151">
        <v>0</v>
      </c>
      <c r="E151">
        <v>0</v>
      </c>
    </row>
    <row r="152" spans="1:5" x14ac:dyDescent="0.25">
      <c r="A152">
        <v>1100102</v>
      </c>
      <c r="B152">
        <v>110001</v>
      </c>
      <c r="C152">
        <v>1</v>
      </c>
      <c r="D152">
        <v>10</v>
      </c>
      <c r="E152" t="s">
        <v>240</v>
      </c>
    </row>
    <row r="153" spans="1:5" x14ac:dyDescent="0.25">
      <c r="A153">
        <v>1100103</v>
      </c>
      <c r="B153">
        <v>110001</v>
      </c>
      <c r="C153">
        <v>1</v>
      </c>
      <c r="D153">
        <v>0</v>
      </c>
      <c r="E153">
        <v>0</v>
      </c>
    </row>
    <row r="154" spans="1:5" x14ac:dyDescent="0.25">
      <c r="A154">
        <v>1100104</v>
      </c>
      <c r="B154">
        <v>110001</v>
      </c>
      <c r="C154">
        <v>2</v>
      </c>
      <c r="D154">
        <v>30</v>
      </c>
      <c r="E154" t="s">
        <v>241</v>
      </c>
    </row>
    <row r="155" spans="1:5" x14ac:dyDescent="0.25">
      <c r="A155">
        <v>1100105</v>
      </c>
      <c r="B155">
        <v>110001</v>
      </c>
      <c r="C155">
        <v>1</v>
      </c>
      <c r="D155">
        <v>0</v>
      </c>
      <c r="E155">
        <v>0</v>
      </c>
    </row>
    <row r="156" spans="1:5" x14ac:dyDescent="0.25">
      <c r="A156">
        <v>1100106</v>
      </c>
      <c r="B156">
        <v>110001</v>
      </c>
      <c r="C156">
        <v>3</v>
      </c>
      <c r="D156">
        <v>50</v>
      </c>
      <c r="E156" t="s">
        <v>242</v>
      </c>
    </row>
    <row r="157" spans="1:5" x14ac:dyDescent="0.25">
      <c r="A157">
        <v>1100107</v>
      </c>
      <c r="B157">
        <v>110001</v>
      </c>
      <c r="C157">
        <v>4</v>
      </c>
      <c r="D157">
        <v>1920</v>
      </c>
      <c r="E157" t="s">
        <v>243</v>
      </c>
    </row>
    <row r="158" spans="1:5" x14ac:dyDescent="0.25">
      <c r="A158">
        <v>1100108</v>
      </c>
      <c r="B158">
        <v>110001</v>
      </c>
      <c r="C158">
        <v>5</v>
      </c>
      <c r="D158">
        <v>3840</v>
      </c>
      <c r="E158" t="s">
        <v>244</v>
      </c>
    </row>
    <row r="159" spans="1:5" x14ac:dyDescent="0.25">
      <c r="A159">
        <v>1100109</v>
      </c>
      <c r="B159">
        <v>110001</v>
      </c>
      <c r="C159">
        <v>6</v>
      </c>
      <c r="D159">
        <v>7680</v>
      </c>
      <c r="E159" t="s">
        <v>245</v>
      </c>
    </row>
    <row r="160" spans="1:5" x14ac:dyDescent="0.25">
      <c r="A160">
        <v>1100110</v>
      </c>
      <c r="B160">
        <v>110001</v>
      </c>
      <c r="C160">
        <v>7</v>
      </c>
      <c r="D160">
        <v>15360</v>
      </c>
      <c r="E160" t="s">
        <v>246</v>
      </c>
    </row>
    <row r="161" spans="1:5" x14ac:dyDescent="0.25">
      <c r="A161">
        <v>1110101</v>
      </c>
      <c r="B161">
        <v>111001</v>
      </c>
      <c r="C161">
        <v>1</v>
      </c>
      <c r="D161">
        <v>0</v>
      </c>
      <c r="E161">
        <v>0</v>
      </c>
    </row>
    <row r="162" spans="1:5" x14ac:dyDescent="0.25">
      <c r="A162">
        <v>1110102</v>
      </c>
      <c r="B162">
        <v>111001</v>
      </c>
      <c r="C162">
        <v>1</v>
      </c>
      <c r="D162">
        <v>10</v>
      </c>
      <c r="E162" t="s">
        <v>240</v>
      </c>
    </row>
    <row r="163" spans="1:5" x14ac:dyDescent="0.25">
      <c r="A163">
        <v>1110103</v>
      </c>
      <c r="B163">
        <v>111001</v>
      </c>
      <c r="C163">
        <v>1</v>
      </c>
      <c r="D163">
        <v>0</v>
      </c>
      <c r="E163">
        <v>0</v>
      </c>
    </row>
    <row r="164" spans="1:5" x14ac:dyDescent="0.25">
      <c r="A164">
        <v>1110104</v>
      </c>
      <c r="B164">
        <v>111001</v>
      </c>
      <c r="C164">
        <v>2</v>
      </c>
      <c r="D164">
        <v>30</v>
      </c>
      <c r="E164" t="s">
        <v>241</v>
      </c>
    </row>
    <row r="165" spans="1:5" x14ac:dyDescent="0.25">
      <c r="A165">
        <v>1110105</v>
      </c>
      <c r="B165">
        <v>111001</v>
      </c>
      <c r="C165">
        <v>1</v>
      </c>
      <c r="D165">
        <v>0</v>
      </c>
      <c r="E165">
        <v>0</v>
      </c>
    </row>
    <row r="166" spans="1:5" x14ac:dyDescent="0.25">
      <c r="A166">
        <v>1110106</v>
      </c>
      <c r="B166">
        <v>111001</v>
      </c>
      <c r="C166">
        <v>3</v>
      </c>
      <c r="D166">
        <v>50</v>
      </c>
      <c r="E166" t="s">
        <v>242</v>
      </c>
    </row>
    <row r="167" spans="1:5" x14ac:dyDescent="0.25">
      <c r="A167">
        <v>1110107</v>
      </c>
      <c r="B167">
        <v>111001</v>
      </c>
      <c r="C167">
        <v>4</v>
      </c>
      <c r="D167">
        <v>1920</v>
      </c>
      <c r="E167" t="s">
        <v>243</v>
      </c>
    </row>
    <row r="168" spans="1:5" x14ac:dyDescent="0.25">
      <c r="A168">
        <v>1110108</v>
      </c>
      <c r="B168">
        <v>111001</v>
      </c>
      <c r="C168">
        <v>5</v>
      </c>
      <c r="D168">
        <v>3840</v>
      </c>
      <c r="E168" t="s">
        <v>244</v>
      </c>
    </row>
    <row r="169" spans="1:5" x14ac:dyDescent="0.25">
      <c r="A169">
        <v>1110109</v>
      </c>
      <c r="B169">
        <v>111001</v>
      </c>
      <c r="C169">
        <v>6</v>
      </c>
      <c r="D169">
        <v>7680</v>
      </c>
      <c r="E169" t="s">
        <v>245</v>
      </c>
    </row>
    <row r="170" spans="1:5" x14ac:dyDescent="0.25">
      <c r="A170">
        <v>1110110</v>
      </c>
      <c r="B170">
        <v>111001</v>
      </c>
      <c r="C170">
        <v>7</v>
      </c>
      <c r="D170">
        <v>15360</v>
      </c>
      <c r="E170" t="s">
        <v>246</v>
      </c>
    </row>
    <row r="171" spans="1:5" x14ac:dyDescent="0.25">
      <c r="A171">
        <v>1140101</v>
      </c>
      <c r="B171">
        <v>114001</v>
      </c>
      <c r="C171">
        <v>1</v>
      </c>
      <c r="D171">
        <v>0</v>
      </c>
      <c r="E171">
        <v>0</v>
      </c>
    </row>
    <row r="172" spans="1:5" x14ac:dyDescent="0.25">
      <c r="A172">
        <v>1140102</v>
      </c>
      <c r="B172">
        <v>114001</v>
      </c>
      <c r="C172">
        <v>1</v>
      </c>
      <c r="D172">
        <v>10</v>
      </c>
      <c r="E172" t="s">
        <v>240</v>
      </c>
    </row>
    <row r="173" spans="1:5" x14ac:dyDescent="0.25">
      <c r="A173">
        <v>1140103</v>
      </c>
      <c r="B173">
        <v>114001</v>
      </c>
      <c r="C173">
        <v>1</v>
      </c>
      <c r="D173">
        <v>0</v>
      </c>
      <c r="E173">
        <v>0</v>
      </c>
    </row>
    <row r="174" spans="1:5" x14ac:dyDescent="0.25">
      <c r="A174">
        <v>1140104</v>
      </c>
      <c r="B174">
        <v>114001</v>
      </c>
      <c r="C174">
        <v>2</v>
      </c>
      <c r="D174">
        <v>30</v>
      </c>
      <c r="E174" t="s">
        <v>241</v>
      </c>
    </row>
    <row r="175" spans="1:5" x14ac:dyDescent="0.25">
      <c r="A175">
        <v>1140105</v>
      </c>
      <c r="B175">
        <v>114001</v>
      </c>
      <c r="C175">
        <v>1</v>
      </c>
      <c r="D175">
        <v>0</v>
      </c>
      <c r="E175">
        <v>0</v>
      </c>
    </row>
    <row r="176" spans="1:5" x14ac:dyDescent="0.25">
      <c r="A176">
        <v>1140106</v>
      </c>
      <c r="B176">
        <v>114001</v>
      </c>
      <c r="C176">
        <v>3</v>
      </c>
      <c r="D176">
        <v>50</v>
      </c>
      <c r="E176" t="s">
        <v>242</v>
      </c>
    </row>
    <row r="177" spans="1:5" x14ac:dyDescent="0.25">
      <c r="A177">
        <v>1140107</v>
      </c>
      <c r="B177">
        <v>114001</v>
      </c>
      <c r="C177">
        <v>4</v>
      </c>
      <c r="D177">
        <v>1920</v>
      </c>
      <c r="E177" t="s">
        <v>243</v>
      </c>
    </row>
    <row r="178" spans="1:5" x14ac:dyDescent="0.25">
      <c r="A178">
        <v>1140108</v>
      </c>
      <c r="B178">
        <v>114001</v>
      </c>
      <c r="C178">
        <v>5</v>
      </c>
      <c r="D178">
        <v>3840</v>
      </c>
      <c r="E178" t="s">
        <v>244</v>
      </c>
    </row>
    <row r="179" spans="1:5" x14ac:dyDescent="0.25">
      <c r="A179">
        <v>1140109</v>
      </c>
      <c r="B179">
        <v>114001</v>
      </c>
      <c r="C179">
        <v>6</v>
      </c>
      <c r="D179">
        <v>7680</v>
      </c>
      <c r="E179" t="s">
        <v>245</v>
      </c>
    </row>
    <row r="180" spans="1:5" x14ac:dyDescent="0.25">
      <c r="A180">
        <v>1140110</v>
      </c>
      <c r="B180">
        <v>114001</v>
      </c>
      <c r="C180">
        <v>7</v>
      </c>
      <c r="D180">
        <v>15360</v>
      </c>
      <c r="E180" t="s">
        <v>246</v>
      </c>
    </row>
    <row r="181" spans="1:5" x14ac:dyDescent="0.25">
      <c r="A181">
        <v>1120101</v>
      </c>
      <c r="B181">
        <v>112001</v>
      </c>
      <c r="C181">
        <v>1</v>
      </c>
      <c r="D181">
        <v>0</v>
      </c>
      <c r="E181">
        <v>0</v>
      </c>
    </row>
    <row r="182" spans="1:5" x14ac:dyDescent="0.25">
      <c r="A182">
        <v>1120102</v>
      </c>
      <c r="B182">
        <v>112001</v>
      </c>
      <c r="C182">
        <v>1</v>
      </c>
      <c r="D182">
        <v>10</v>
      </c>
      <c r="E182" t="s">
        <v>240</v>
      </c>
    </row>
    <row r="183" spans="1:5" x14ac:dyDescent="0.25">
      <c r="A183">
        <v>1120103</v>
      </c>
      <c r="B183">
        <v>112001</v>
      </c>
      <c r="C183">
        <v>1</v>
      </c>
      <c r="D183">
        <v>0</v>
      </c>
      <c r="E183">
        <v>0</v>
      </c>
    </row>
    <row r="184" spans="1:5" x14ac:dyDescent="0.25">
      <c r="A184">
        <v>1120104</v>
      </c>
      <c r="B184">
        <v>112001</v>
      </c>
      <c r="C184">
        <v>2</v>
      </c>
      <c r="D184">
        <v>30</v>
      </c>
      <c r="E184" t="s">
        <v>241</v>
      </c>
    </row>
    <row r="185" spans="1:5" x14ac:dyDescent="0.25">
      <c r="A185">
        <v>1120105</v>
      </c>
      <c r="B185">
        <v>112001</v>
      </c>
      <c r="C185">
        <v>1</v>
      </c>
      <c r="D185">
        <v>0</v>
      </c>
      <c r="E185">
        <v>0</v>
      </c>
    </row>
    <row r="186" spans="1:5" x14ac:dyDescent="0.25">
      <c r="A186">
        <v>1120106</v>
      </c>
      <c r="B186">
        <v>112001</v>
      </c>
      <c r="C186">
        <v>3</v>
      </c>
      <c r="D186">
        <v>50</v>
      </c>
      <c r="E186" t="s">
        <v>242</v>
      </c>
    </row>
    <row r="187" spans="1:5" x14ac:dyDescent="0.25">
      <c r="A187">
        <v>1120107</v>
      </c>
      <c r="B187">
        <v>112001</v>
      </c>
      <c r="C187">
        <v>4</v>
      </c>
      <c r="D187">
        <v>1920</v>
      </c>
      <c r="E187" t="s">
        <v>243</v>
      </c>
    </row>
    <row r="188" spans="1:5" x14ac:dyDescent="0.25">
      <c r="A188">
        <v>1120108</v>
      </c>
      <c r="B188">
        <v>112001</v>
      </c>
      <c r="C188">
        <v>5</v>
      </c>
      <c r="D188">
        <v>3840</v>
      </c>
      <c r="E188" t="s">
        <v>244</v>
      </c>
    </row>
    <row r="189" spans="1:5" x14ac:dyDescent="0.25">
      <c r="A189">
        <v>1120109</v>
      </c>
      <c r="B189">
        <v>112001</v>
      </c>
      <c r="C189">
        <v>6</v>
      </c>
      <c r="D189">
        <v>7680</v>
      </c>
      <c r="E189" t="s">
        <v>245</v>
      </c>
    </row>
    <row r="190" spans="1:5" x14ac:dyDescent="0.25">
      <c r="A190">
        <v>1120110</v>
      </c>
      <c r="B190">
        <v>112001</v>
      </c>
      <c r="C190">
        <v>7</v>
      </c>
      <c r="D190">
        <v>15360</v>
      </c>
      <c r="E190" t="s">
        <v>246</v>
      </c>
    </row>
    <row r="191" spans="1:5" x14ac:dyDescent="0.25">
      <c r="A191">
        <v>1150101</v>
      </c>
      <c r="B191">
        <v>115001</v>
      </c>
      <c r="C191">
        <v>1</v>
      </c>
      <c r="D191">
        <v>0</v>
      </c>
      <c r="E191">
        <v>0</v>
      </c>
    </row>
    <row r="192" spans="1:5" x14ac:dyDescent="0.25">
      <c r="A192">
        <v>1150102</v>
      </c>
      <c r="B192">
        <v>115001</v>
      </c>
      <c r="C192">
        <v>1</v>
      </c>
      <c r="D192">
        <v>10</v>
      </c>
      <c r="E192" t="s">
        <v>247</v>
      </c>
    </row>
    <row r="193" spans="1:5" x14ac:dyDescent="0.25">
      <c r="A193">
        <v>1150103</v>
      </c>
      <c r="B193">
        <v>115001</v>
      </c>
      <c r="C193">
        <v>1</v>
      </c>
      <c r="D193">
        <v>0</v>
      </c>
      <c r="E193">
        <v>0</v>
      </c>
    </row>
    <row r="194" spans="1:5" x14ac:dyDescent="0.25">
      <c r="A194">
        <v>1150104</v>
      </c>
      <c r="B194">
        <v>115001</v>
      </c>
      <c r="C194">
        <v>2</v>
      </c>
      <c r="D194">
        <v>30</v>
      </c>
      <c r="E194" t="s">
        <v>248</v>
      </c>
    </row>
    <row r="195" spans="1:5" x14ac:dyDescent="0.25">
      <c r="A195">
        <v>1150105</v>
      </c>
      <c r="B195">
        <v>115001</v>
      </c>
      <c r="C195">
        <v>1</v>
      </c>
      <c r="D195">
        <v>0</v>
      </c>
      <c r="E195">
        <v>0</v>
      </c>
    </row>
    <row r="196" spans="1:5" x14ac:dyDescent="0.25">
      <c r="A196">
        <v>1150106</v>
      </c>
      <c r="B196">
        <v>115001</v>
      </c>
      <c r="C196">
        <v>3</v>
      </c>
      <c r="D196">
        <v>50</v>
      </c>
      <c r="E196" t="s">
        <v>249</v>
      </c>
    </row>
    <row r="197" spans="1:5" x14ac:dyDescent="0.25">
      <c r="A197">
        <v>1150107</v>
      </c>
      <c r="B197">
        <v>115001</v>
      </c>
      <c r="C197">
        <v>4</v>
      </c>
      <c r="D197">
        <v>1920</v>
      </c>
      <c r="E197" t="s">
        <v>250</v>
      </c>
    </row>
    <row r="198" spans="1:5" x14ac:dyDescent="0.25">
      <c r="A198">
        <v>1150108</v>
      </c>
      <c r="B198">
        <v>115001</v>
      </c>
      <c r="C198">
        <v>5</v>
      </c>
      <c r="D198">
        <v>3840</v>
      </c>
      <c r="E198" t="s">
        <v>251</v>
      </c>
    </row>
    <row r="199" spans="1:5" x14ac:dyDescent="0.25">
      <c r="A199">
        <v>1150109</v>
      </c>
      <c r="B199">
        <v>115001</v>
      </c>
      <c r="C199">
        <v>6</v>
      </c>
      <c r="D199">
        <v>7680</v>
      </c>
      <c r="E199" t="s">
        <v>252</v>
      </c>
    </row>
    <row r="200" spans="1:5" x14ac:dyDescent="0.25">
      <c r="A200">
        <v>1150110</v>
      </c>
      <c r="B200">
        <v>115001</v>
      </c>
      <c r="C200">
        <v>7</v>
      </c>
      <c r="D200">
        <v>15360</v>
      </c>
      <c r="E200" t="s">
        <v>253</v>
      </c>
    </row>
    <row r="201" spans="1:5" x14ac:dyDescent="0.25">
      <c r="A201">
        <v>2010101</v>
      </c>
      <c r="B201">
        <v>201001</v>
      </c>
      <c r="C201">
        <v>1</v>
      </c>
      <c r="D201">
        <v>0</v>
      </c>
      <c r="E201">
        <v>0</v>
      </c>
    </row>
    <row r="202" spans="1:5" x14ac:dyDescent="0.25">
      <c r="A202">
        <v>2010102</v>
      </c>
      <c r="B202">
        <v>201001</v>
      </c>
      <c r="C202">
        <v>1</v>
      </c>
      <c r="D202">
        <v>10</v>
      </c>
      <c r="E202" t="s">
        <v>254</v>
      </c>
    </row>
    <row r="203" spans="1:5" x14ac:dyDescent="0.25">
      <c r="A203">
        <v>2010103</v>
      </c>
      <c r="B203">
        <v>201001</v>
      </c>
      <c r="C203">
        <v>2</v>
      </c>
      <c r="D203">
        <v>30</v>
      </c>
      <c r="E203" t="s">
        <v>254</v>
      </c>
    </row>
    <row r="204" spans="1:5" x14ac:dyDescent="0.25">
      <c r="A204">
        <v>2010104</v>
      </c>
      <c r="B204">
        <v>201001</v>
      </c>
      <c r="C204">
        <v>3</v>
      </c>
      <c r="D204">
        <v>50</v>
      </c>
      <c r="E204" t="s">
        <v>254</v>
      </c>
    </row>
    <row r="205" spans="1:5" x14ac:dyDescent="0.25">
      <c r="A205">
        <v>2010105</v>
      </c>
      <c r="B205">
        <v>201001</v>
      </c>
      <c r="C205">
        <v>4</v>
      </c>
      <c r="D205">
        <v>1920</v>
      </c>
      <c r="E205" t="s">
        <v>254</v>
      </c>
    </row>
    <row r="206" spans="1:5" x14ac:dyDescent="0.25">
      <c r="A206">
        <v>2010106</v>
      </c>
      <c r="B206">
        <v>201001</v>
      </c>
      <c r="C206">
        <v>5</v>
      </c>
      <c r="D206">
        <v>3849</v>
      </c>
      <c r="E206" t="s">
        <v>254</v>
      </c>
    </row>
    <row r="207" spans="1:5" x14ac:dyDescent="0.25">
      <c r="A207">
        <v>2010107</v>
      </c>
      <c r="B207">
        <v>201001</v>
      </c>
      <c r="C207">
        <v>6</v>
      </c>
      <c r="D207">
        <v>7680</v>
      </c>
      <c r="E207" t="s">
        <v>254</v>
      </c>
    </row>
    <row r="208" spans="1:5" x14ac:dyDescent="0.25">
      <c r="A208">
        <v>2010108</v>
      </c>
      <c r="B208">
        <v>201001</v>
      </c>
      <c r="C208">
        <v>7</v>
      </c>
      <c r="D208">
        <v>3840</v>
      </c>
      <c r="E208" t="s">
        <v>255</v>
      </c>
    </row>
    <row r="209" spans="1:5" x14ac:dyDescent="0.25">
      <c r="A209">
        <v>2010109</v>
      </c>
      <c r="B209">
        <v>201001</v>
      </c>
      <c r="C209">
        <v>8</v>
      </c>
      <c r="D209">
        <v>7680</v>
      </c>
      <c r="E209" t="s">
        <v>255</v>
      </c>
    </row>
    <row r="210" spans="1:5" x14ac:dyDescent="0.25">
      <c r="A210">
        <v>2010110</v>
      </c>
      <c r="B210">
        <v>201001</v>
      </c>
      <c r="C210">
        <v>9</v>
      </c>
      <c r="D210">
        <v>15360</v>
      </c>
      <c r="E210" t="s">
        <v>255</v>
      </c>
    </row>
    <row r="211" spans="1:5" x14ac:dyDescent="0.25">
      <c r="A211">
        <v>2010201</v>
      </c>
      <c r="B211">
        <v>201002</v>
      </c>
      <c r="C211">
        <v>1</v>
      </c>
      <c r="D211">
        <v>0</v>
      </c>
      <c r="E211">
        <v>0</v>
      </c>
    </row>
    <row r="212" spans="1:5" x14ac:dyDescent="0.25">
      <c r="A212">
        <v>2010202</v>
      </c>
      <c r="B212">
        <v>201002</v>
      </c>
      <c r="C212">
        <v>1</v>
      </c>
      <c r="D212">
        <v>10</v>
      </c>
      <c r="E212" t="s">
        <v>49</v>
      </c>
    </row>
    <row r="213" spans="1:5" x14ac:dyDescent="0.25">
      <c r="A213">
        <v>2010203</v>
      </c>
      <c r="B213">
        <v>201002</v>
      </c>
      <c r="C213">
        <v>2</v>
      </c>
      <c r="D213">
        <v>30</v>
      </c>
      <c r="E213" t="s">
        <v>50</v>
      </c>
    </row>
    <row r="214" spans="1:5" x14ac:dyDescent="0.25">
      <c r="A214">
        <v>2010204</v>
      </c>
      <c r="B214">
        <v>201002</v>
      </c>
      <c r="C214">
        <v>3</v>
      </c>
      <c r="D214">
        <v>50</v>
      </c>
      <c r="E214" t="s">
        <v>51</v>
      </c>
    </row>
    <row r="215" spans="1:5" x14ac:dyDescent="0.25">
      <c r="A215">
        <v>2010205</v>
      </c>
      <c r="B215">
        <v>201002</v>
      </c>
      <c r="C215">
        <v>4</v>
      </c>
      <c r="D215">
        <v>1920</v>
      </c>
      <c r="E215" t="s">
        <v>52</v>
      </c>
    </row>
    <row r="216" spans="1:5" x14ac:dyDescent="0.25">
      <c r="A216">
        <v>2010206</v>
      </c>
      <c r="B216">
        <v>201002</v>
      </c>
      <c r="C216">
        <v>5</v>
      </c>
      <c r="D216">
        <v>3849</v>
      </c>
      <c r="E216" t="s">
        <v>53</v>
      </c>
    </row>
    <row r="217" spans="1:5" x14ac:dyDescent="0.25">
      <c r="A217">
        <v>2010207</v>
      </c>
      <c r="B217">
        <v>201002</v>
      </c>
      <c r="C217">
        <v>6</v>
      </c>
      <c r="D217">
        <v>7680</v>
      </c>
      <c r="E217" t="s">
        <v>54</v>
      </c>
    </row>
    <row r="218" spans="1:5" x14ac:dyDescent="0.25">
      <c r="A218">
        <v>2010208</v>
      </c>
      <c r="B218">
        <v>201002</v>
      </c>
      <c r="C218">
        <v>7</v>
      </c>
      <c r="D218">
        <v>3840</v>
      </c>
      <c r="E218" t="s">
        <v>55</v>
      </c>
    </row>
    <row r="219" spans="1:5" x14ac:dyDescent="0.25">
      <c r="A219">
        <v>2010209</v>
      </c>
      <c r="B219">
        <v>201002</v>
      </c>
      <c r="C219">
        <v>8</v>
      </c>
      <c r="D219">
        <v>7680</v>
      </c>
      <c r="E219" t="s">
        <v>56</v>
      </c>
    </row>
    <row r="220" spans="1:5" x14ac:dyDescent="0.25">
      <c r="A220">
        <v>2010210</v>
      </c>
      <c r="B220">
        <v>201002</v>
      </c>
      <c r="C220">
        <v>9</v>
      </c>
      <c r="D220">
        <v>15360</v>
      </c>
      <c r="E220" t="s">
        <v>57</v>
      </c>
    </row>
    <row r="221" spans="1:5" x14ac:dyDescent="0.25">
      <c r="A221">
        <v>2010301</v>
      </c>
      <c r="B221">
        <v>201003</v>
      </c>
      <c r="C221">
        <v>1</v>
      </c>
      <c r="D221">
        <v>0</v>
      </c>
      <c r="E221">
        <v>0</v>
      </c>
    </row>
    <row r="222" spans="1:5" x14ac:dyDescent="0.25">
      <c r="A222">
        <v>2010302</v>
      </c>
      <c r="B222">
        <v>201003</v>
      </c>
      <c r="C222">
        <v>1</v>
      </c>
      <c r="D222">
        <v>10</v>
      </c>
      <c r="E222" t="s">
        <v>49</v>
      </c>
    </row>
    <row r="223" spans="1:5" x14ac:dyDescent="0.25">
      <c r="A223">
        <v>2010303</v>
      </c>
      <c r="B223">
        <v>201003</v>
      </c>
      <c r="C223">
        <v>2</v>
      </c>
      <c r="D223">
        <v>30</v>
      </c>
      <c r="E223" t="s">
        <v>50</v>
      </c>
    </row>
    <row r="224" spans="1:5" x14ac:dyDescent="0.25">
      <c r="A224">
        <v>2010304</v>
      </c>
      <c r="B224">
        <v>201003</v>
      </c>
      <c r="C224">
        <v>3</v>
      </c>
      <c r="D224">
        <v>50</v>
      </c>
      <c r="E224" t="s">
        <v>51</v>
      </c>
    </row>
    <row r="225" spans="1:5" x14ac:dyDescent="0.25">
      <c r="A225">
        <v>2010305</v>
      </c>
      <c r="B225">
        <v>201003</v>
      </c>
      <c r="C225">
        <v>4</v>
      </c>
      <c r="D225">
        <v>1920</v>
      </c>
      <c r="E225" t="s">
        <v>52</v>
      </c>
    </row>
    <row r="226" spans="1:5" x14ac:dyDescent="0.25">
      <c r="A226">
        <v>2010306</v>
      </c>
      <c r="B226">
        <v>201003</v>
      </c>
      <c r="C226">
        <v>5</v>
      </c>
      <c r="D226">
        <v>3849</v>
      </c>
      <c r="E226" t="s">
        <v>53</v>
      </c>
    </row>
    <row r="227" spans="1:5" x14ac:dyDescent="0.25">
      <c r="A227">
        <v>2010307</v>
      </c>
      <c r="B227">
        <v>201003</v>
      </c>
      <c r="C227">
        <v>6</v>
      </c>
      <c r="D227">
        <v>7680</v>
      </c>
      <c r="E227" t="s">
        <v>54</v>
      </c>
    </row>
    <row r="228" spans="1:5" x14ac:dyDescent="0.25">
      <c r="A228">
        <v>2010308</v>
      </c>
      <c r="B228">
        <v>201003</v>
      </c>
      <c r="C228">
        <v>7</v>
      </c>
      <c r="D228">
        <v>3840</v>
      </c>
      <c r="E228" t="s">
        <v>55</v>
      </c>
    </row>
    <row r="229" spans="1:5" x14ac:dyDescent="0.25">
      <c r="A229">
        <v>2010209</v>
      </c>
      <c r="B229">
        <v>201003</v>
      </c>
      <c r="C229">
        <v>8</v>
      </c>
      <c r="D229">
        <v>7680</v>
      </c>
      <c r="E229" t="s">
        <v>56</v>
      </c>
    </row>
    <row r="230" spans="1:5" x14ac:dyDescent="0.25">
      <c r="A230">
        <v>2010210</v>
      </c>
      <c r="B230">
        <v>201003</v>
      </c>
      <c r="C230">
        <v>9</v>
      </c>
      <c r="D230">
        <v>15360</v>
      </c>
      <c r="E230" t="s">
        <v>57</v>
      </c>
    </row>
    <row r="231" spans="1:5" x14ac:dyDescent="0.25">
      <c r="A231">
        <v>2010401</v>
      </c>
      <c r="B231">
        <v>201004</v>
      </c>
      <c r="C231">
        <v>1</v>
      </c>
      <c r="D231">
        <v>0</v>
      </c>
      <c r="E231">
        <v>0</v>
      </c>
    </row>
    <row r="232" spans="1:5" x14ac:dyDescent="0.25">
      <c r="A232">
        <v>2010402</v>
      </c>
      <c r="B232">
        <v>201004</v>
      </c>
      <c r="C232">
        <v>1</v>
      </c>
      <c r="D232">
        <v>10</v>
      </c>
      <c r="E232" t="s">
        <v>49</v>
      </c>
    </row>
    <row r="233" spans="1:5" x14ac:dyDescent="0.25">
      <c r="A233">
        <v>2010403</v>
      </c>
      <c r="B233">
        <v>201004</v>
      </c>
      <c r="C233">
        <v>2</v>
      </c>
      <c r="D233">
        <v>30</v>
      </c>
      <c r="E233" t="s">
        <v>50</v>
      </c>
    </row>
    <row r="234" spans="1:5" x14ac:dyDescent="0.25">
      <c r="A234">
        <v>2010404</v>
      </c>
      <c r="B234">
        <v>201004</v>
      </c>
      <c r="C234">
        <v>3</v>
      </c>
      <c r="D234">
        <v>50</v>
      </c>
      <c r="E234" t="s">
        <v>51</v>
      </c>
    </row>
    <row r="235" spans="1:5" x14ac:dyDescent="0.25">
      <c r="A235">
        <v>2010405</v>
      </c>
      <c r="B235">
        <v>201004</v>
      </c>
      <c r="C235">
        <v>4</v>
      </c>
      <c r="D235">
        <v>1920</v>
      </c>
      <c r="E235" t="s">
        <v>52</v>
      </c>
    </row>
    <row r="236" spans="1:5" x14ac:dyDescent="0.25">
      <c r="A236">
        <v>2010406</v>
      </c>
      <c r="B236">
        <v>201004</v>
      </c>
      <c r="C236">
        <v>5</v>
      </c>
      <c r="D236">
        <v>3849</v>
      </c>
      <c r="E236" t="s">
        <v>53</v>
      </c>
    </row>
    <row r="237" spans="1:5" x14ac:dyDescent="0.25">
      <c r="A237">
        <v>2010407</v>
      </c>
      <c r="B237">
        <v>201004</v>
      </c>
      <c r="C237">
        <v>6</v>
      </c>
      <c r="D237">
        <v>7680</v>
      </c>
      <c r="E237" t="s">
        <v>54</v>
      </c>
    </row>
    <row r="238" spans="1:5" x14ac:dyDescent="0.25">
      <c r="A238">
        <v>2010408</v>
      </c>
      <c r="B238">
        <v>201004</v>
      </c>
      <c r="C238">
        <v>7</v>
      </c>
      <c r="D238">
        <v>3840</v>
      </c>
      <c r="E238" t="s">
        <v>55</v>
      </c>
    </row>
    <row r="239" spans="1:5" x14ac:dyDescent="0.25">
      <c r="A239">
        <v>2010209</v>
      </c>
      <c r="B239">
        <v>201004</v>
      </c>
      <c r="C239">
        <v>8</v>
      </c>
      <c r="D239">
        <v>7680</v>
      </c>
      <c r="E239" t="s">
        <v>56</v>
      </c>
    </row>
    <row r="240" spans="1:5" x14ac:dyDescent="0.25">
      <c r="A240">
        <v>2010210</v>
      </c>
      <c r="B240">
        <v>201004</v>
      </c>
      <c r="C240">
        <v>9</v>
      </c>
      <c r="D240">
        <v>15360</v>
      </c>
      <c r="E240" t="s">
        <v>57</v>
      </c>
    </row>
    <row r="241" spans="1:5" x14ac:dyDescent="0.25">
      <c r="A241">
        <v>2010501</v>
      </c>
      <c r="B241">
        <v>201005</v>
      </c>
      <c r="C241">
        <v>1</v>
      </c>
      <c r="D241">
        <v>0</v>
      </c>
      <c r="E241">
        <v>0</v>
      </c>
    </row>
    <row r="242" spans="1:5" x14ac:dyDescent="0.25">
      <c r="A242">
        <v>2010502</v>
      </c>
      <c r="B242">
        <v>201005</v>
      </c>
      <c r="C242">
        <v>1</v>
      </c>
      <c r="D242">
        <v>10</v>
      </c>
      <c r="E242" t="s">
        <v>49</v>
      </c>
    </row>
    <row r="243" spans="1:5" x14ac:dyDescent="0.25">
      <c r="A243">
        <v>2010503</v>
      </c>
      <c r="B243">
        <v>201005</v>
      </c>
      <c r="C243">
        <v>2</v>
      </c>
      <c r="D243">
        <v>30</v>
      </c>
      <c r="E243" t="s">
        <v>50</v>
      </c>
    </row>
    <row r="244" spans="1:5" x14ac:dyDescent="0.25">
      <c r="A244">
        <v>2010504</v>
      </c>
      <c r="B244">
        <v>201005</v>
      </c>
      <c r="C244">
        <v>3</v>
      </c>
      <c r="D244">
        <v>50</v>
      </c>
      <c r="E244" t="s">
        <v>51</v>
      </c>
    </row>
    <row r="245" spans="1:5" x14ac:dyDescent="0.25">
      <c r="A245">
        <v>2010505</v>
      </c>
      <c r="B245">
        <v>201005</v>
      </c>
      <c r="C245">
        <v>4</v>
      </c>
      <c r="D245">
        <v>1920</v>
      </c>
      <c r="E245" t="s">
        <v>52</v>
      </c>
    </row>
    <row r="246" spans="1:5" x14ac:dyDescent="0.25">
      <c r="A246">
        <v>2010506</v>
      </c>
      <c r="B246">
        <v>201005</v>
      </c>
      <c r="C246">
        <v>5</v>
      </c>
      <c r="D246">
        <v>3849</v>
      </c>
      <c r="E246" t="s">
        <v>53</v>
      </c>
    </row>
    <row r="247" spans="1:5" x14ac:dyDescent="0.25">
      <c r="A247">
        <v>2010507</v>
      </c>
      <c r="B247">
        <v>201005</v>
      </c>
      <c r="C247">
        <v>6</v>
      </c>
      <c r="D247">
        <v>7680</v>
      </c>
      <c r="E247" t="s">
        <v>54</v>
      </c>
    </row>
    <row r="248" spans="1:5" x14ac:dyDescent="0.25">
      <c r="A248">
        <v>2010508</v>
      </c>
      <c r="B248">
        <v>201005</v>
      </c>
      <c r="C248">
        <v>7</v>
      </c>
      <c r="D248">
        <v>3840</v>
      </c>
      <c r="E248" t="s">
        <v>55</v>
      </c>
    </row>
    <row r="249" spans="1:5" x14ac:dyDescent="0.25">
      <c r="A249">
        <v>2010209</v>
      </c>
      <c r="B249">
        <v>201005</v>
      </c>
      <c r="C249">
        <v>8</v>
      </c>
      <c r="D249">
        <v>7680</v>
      </c>
      <c r="E249" t="s">
        <v>56</v>
      </c>
    </row>
    <row r="250" spans="1:5" x14ac:dyDescent="0.25">
      <c r="A250">
        <v>2010210</v>
      </c>
      <c r="B250">
        <v>201005</v>
      </c>
      <c r="C250">
        <v>9</v>
      </c>
      <c r="D250">
        <v>15360</v>
      </c>
      <c r="E250" t="s">
        <v>57</v>
      </c>
    </row>
    <row r="251" spans="1:5" x14ac:dyDescent="0.25">
      <c r="A251">
        <v>2010601</v>
      </c>
      <c r="B251">
        <v>201006</v>
      </c>
      <c r="C251">
        <v>1</v>
      </c>
      <c r="D251">
        <v>0</v>
      </c>
      <c r="E251">
        <v>0</v>
      </c>
    </row>
    <row r="252" spans="1:5" x14ac:dyDescent="0.25">
      <c r="A252">
        <v>2010602</v>
      </c>
      <c r="B252">
        <v>201006</v>
      </c>
      <c r="C252">
        <v>1</v>
      </c>
      <c r="D252">
        <v>10</v>
      </c>
      <c r="E252" t="s">
        <v>63</v>
      </c>
    </row>
    <row r="253" spans="1:5" x14ac:dyDescent="0.25">
      <c r="A253">
        <v>2010603</v>
      </c>
      <c r="B253">
        <v>201006</v>
      </c>
      <c r="C253">
        <v>2</v>
      </c>
      <c r="D253">
        <v>30</v>
      </c>
      <c r="E253" t="s">
        <v>64</v>
      </c>
    </row>
    <row r="254" spans="1:5" x14ac:dyDescent="0.25">
      <c r="A254">
        <v>2010604</v>
      </c>
      <c r="B254">
        <v>201006</v>
      </c>
      <c r="C254">
        <v>3</v>
      </c>
      <c r="D254">
        <v>50</v>
      </c>
      <c r="E254" t="s">
        <v>65</v>
      </c>
    </row>
    <row r="255" spans="1:5" x14ac:dyDescent="0.25">
      <c r="A255">
        <v>2010605</v>
      </c>
      <c r="B255">
        <v>201006</v>
      </c>
      <c r="C255">
        <v>4</v>
      </c>
      <c r="D255">
        <v>1920</v>
      </c>
      <c r="E255" t="s">
        <v>66</v>
      </c>
    </row>
    <row r="256" spans="1:5" x14ac:dyDescent="0.25">
      <c r="A256">
        <v>2010606</v>
      </c>
      <c r="B256">
        <v>201006</v>
      </c>
      <c r="C256">
        <v>5</v>
      </c>
      <c r="D256">
        <v>3849</v>
      </c>
      <c r="E256" t="s">
        <v>67</v>
      </c>
    </row>
    <row r="257" spans="1:5" x14ac:dyDescent="0.25">
      <c r="A257">
        <v>2010607</v>
      </c>
      <c r="B257">
        <v>201006</v>
      </c>
      <c r="C257">
        <v>6</v>
      </c>
      <c r="D257">
        <v>7680</v>
      </c>
      <c r="E257" t="s">
        <v>68</v>
      </c>
    </row>
    <row r="258" spans="1:5" x14ac:dyDescent="0.25">
      <c r="A258">
        <v>2010608</v>
      </c>
      <c r="B258">
        <v>201006</v>
      </c>
      <c r="C258">
        <v>7</v>
      </c>
      <c r="D258">
        <v>3840</v>
      </c>
      <c r="E258" t="s">
        <v>69</v>
      </c>
    </row>
    <row r="259" spans="1:5" x14ac:dyDescent="0.25">
      <c r="A259">
        <v>2010609</v>
      </c>
      <c r="B259">
        <v>201006</v>
      </c>
      <c r="C259">
        <v>8</v>
      </c>
      <c r="D259">
        <v>7680</v>
      </c>
      <c r="E259" t="s">
        <v>70</v>
      </c>
    </row>
    <row r="260" spans="1:5" x14ac:dyDescent="0.25">
      <c r="A260">
        <v>2010610</v>
      </c>
      <c r="B260">
        <v>201006</v>
      </c>
      <c r="C260">
        <v>9</v>
      </c>
      <c r="D260">
        <v>15360</v>
      </c>
      <c r="E260" t="s">
        <v>71</v>
      </c>
    </row>
    <row r="261" spans="1:5" x14ac:dyDescent="0.25">
      <c r="A261">
        <v>2010701</v>
      </c>
      <c r="B261">
        <v>201007</v>
      </c>
      <c r="C261">
        <v>1</v>
      </c>
      <c r="D261">
        <v>0</v>
      </c>
      <c r="E261">
        <v>0</v>
      </c>
    </row>
    <row r="262" spans="1:5" x14ac:dyDescent="0.25">
      <c r="A262">
        <v>2010702</v>
      </c>
      <c r="B262">
        <v>201007</v>
      </c>
      <c r="C262">
        <v>1</v>
      </c>
      <c r="D262">
        <v>10</v>
      </c>
      <c r="E262" t="s">
        <v>49</v>
      </c>
    </row>
    <row r="263" spans="1:5" x14ac:dyDescent="0.25">
      <c r="A263">
        <v>2010703</v>
      </c>
      <c r="B263">
        <v>201007</v>
      </c>
      <c r="C263">
        <v>2</v>
      </c>
      <c r="D263">
        <v>30</v>
      </c>
      <c r="E263" t="s">
        <v>50</v>
      </c>
    </row>
    <row r="264" spans="1:5" x14ac:dyDescent="0.25">
      <c r="A264">
        <v>2010704</v>
      </c>
      <c r="B264">
        <v>201007</v>
      </c>
      <c r="C264">
        <v>3</v>
      </c>
      <c r="D264">
        <v>50</v>
      </c>
      <c r="E264" t="s">
        <v>51</v>
      </c>
    </row>
    <row r="265" spans="1:5" x14ac:dyDescent="0.25">
      <c r="A265">
        <v>2010705</v>
      </c>
      <c r="B265">
        <v>201007</v>
      </c>
      <c r="C265">
        <v>4</v>
      </c>
      <c r="D265">
        <v>1920</v>
      </c>
      <c r="E265" t="s">
        <v>52</v>
      </c>
    </row>
    <row r="266" spans="1:5" x14ac:dyDescent="0.25">
      <c r="A266">
        <v>2010706</v>
      </c>
      <c r="B266">
        <v>201007</v>
      </c>
      <c r="C266">
        <v>5</v>
      </c>
      <c r="D266">
        <v>3849</v>
      </c>
      <c r="E266" t="s">
        <v>53</v>
      </c>
    </row>
    <row r="267" spans="1:5" x14ac:dyDescent="0.25">
      <c r="A267">
        <v>2010707</v>
      </c>
      <c r="B267">
        <v>201007</v>
      </c>
      <c r="C267">
        <v>6</v>
      </c>
      <c r="D267">
        <v>7680</v>
      </c>
      <c r="E267" t="s">
        <v>54</v>
      </c>
    </row>
    <row r="268" spans="1:5" x14ac:dyDescent="0.25">
      <c r="A268">
        <v>2010708</v>
      </c>
      <c r="B268">
        <v>201007</v>
      </c>
      <c r="C268">
        <v>7</v>
      </c>
      <c r="D268">
        <v>3840</v>
      </c>
      <c r="E268" t="s">
        <v>55</v>
      </c>
    </row>
    <row r="269" spans="1:5" x14ac:dyDescent="0.25">
      <c r="A269">
        <v>2010709</v>
      </c>
      <c r="B269">
        <v>201007</v>
      </c>
      <c r="C269">
        <v>8</v>
      </c>
      <c r="D269">
        <v>7680</v>
      </c>
      <c r="E269" t="s">
        <v>56</v>
      </c>
    </row>
    <row r="270" spans="1:5" x14ac:dyDescent="0.25">
      <c r="A270">
        <v>2010710</v>
      </c>
      <c r="B270">
        <v>201007</v>
      </c>
      <c r="C270">
        <v>9</v>
      </c>
      <c r="D270">
        <v>15360</v>
      </c>
      <c r="E270" t="s">
        <v>57</v>
      </c>
    </row>
    <row r="271" spans="1:5" x14ac:dyDescent="0.25">
      <c r="A271">
        <v>2010801</v>
      </c>
      <c r="B271">
        <v>201008</v>
      </c>
      <c r="C271">
        <v>1</v>
      </c>
      <c r="D271">
        <v>0</v>
      </c>
      <c r="E271">
        <v>0</v>
      </c>
    </row>
    <row r="272" spans="1:5" x14ac:dyDescent="0.25">
      <c r="A272">
        <v>2010802</v>
      </c>
      <c r="B272">
        <v>201008</v>
      </c>
      <c r="C272">
        <v>1</v>
      </c>
      <c r="D272">
        <v>10</v>
      </c>
      <c r="E272" t="s">
        <v>49</v>
      </c>
    </row>
    <row r="273" spans="1:5" x14ac:dyDescent="0.25">
      <c r="A273">
        <v>2010803</v>
      </c>
      <c r="B273">
        <v>201008</v>
      </c>
      <c r="C273">
        <v>2</v>
      </c>
      <c r="D273">
        <v>30</v>
      </c>
      <c r="E273" t="s">
        <v>50</v>
      </c>
    </row>
    <row r="274" spans="1:5" x14ac:dyDescent="0.25">
      <c r="A274">
        <v>2010804</v>
      </c>
      <c r="B274">
        <v>201008</v>
      </c>
      <c r="C274">
        <v>3</v>
      </c>
      <c r="D274">
        <v>50</v>
      </c>
      <c r="E274" t="s">
        <v>51</v>
      </c>
    </row>
    <row r="275" spans="1:5" x14ac:dyDescent="0.25">
      <c r="A275">
        <v>2010805</v>
      </c>
      <c r="B275">
        <v>201008</v>
      </c>
      <c r="C275">
        <v>4</v>
      </c>
      <c r="D275">
        <v>1920</v>
      </c>
      <c r="E275" t="s">
        <v>52</v>
      </c>
    </row>
    <row r="276" spans="1:5" x14ac:dyDescent="0.25">
      <c r="A276">
        <v>2010806</v>
      </c>
      <c r="B276">
        <v>201008</v>
      </c>
      <c r="C276">
        <v>5</v>
      </c>
      <c r="D276">
        <v>3849</v>
      </c>
      <c r="E276" t="s">
        <v>53</v>
      </c>
    </row>
    <row r="277" spans="1:5" x14ac:dyDescent="0.25">
      <c r="A277">
        <v>2010807</v>
      </c>
      <c r="B277">
        <v>201008</v>
      </c>
      <c r="C277">
        <v>6</v>
      </c>
      <c r="D277">
        <v>7680</v>
      </c>
      <c r="E277" t="s">
        <v>54</v>
      </c>
    </row>
    <row r="278" spans="1:5" x14ac:dyDescent="0.25">
      <c r="A278">
        <v>2010808</v>
      </c>
      <c r="B278">
        <v>201008</v>
      </c>
      <c r="C278">
        <v>7</v>
      </c>
      <c r="D278">
        <v>3840</v>
      </c>
      <c r="E278" t="s">
        <v>55</v>
      </c>
    </row>
    <row r="279" spans="1:5" x14ac:dyDescent="0.25">
      <c r="A279">
        <v>2010809</v>
      </c>
      <c r="B279">
        <v>201008</v>
      </c>
      <c r="C279">
        <v>8</v>
      </c>
      <c r="D279">
        <v>7680</v>
      </c>
      <c r="E279" t="s">
        <v>56</v>
      </c>
    </row>
    <row r="280" spans="1:5" x14ac:dyDescent="0.25">
      <c r="A280">
        <v>2010810</v>
      </c>
      <c r="B280">
        <v>201008</v>
      </c>
      <c r="C280">
        <v>9</v>
      </c>
      <c r="D280">
        <v>15360</v>
      </c>
      <c r="E280" t="s">
        <v>57</v>
      </c>
    </row>
    <row r="281" spans="1:5" x14ac:dyDescent="0.25">
      <c r="A281">
        <v>2010901</v>
      </c>
      <c r="B281">
        <v>201009</v>
      </c>
      <c r="C281">
        <v>1</v>
      </c>
      <c r="D281">
        <v>0</v>
      </c>
      <c r="E281">
        <v>0</v>
      </c>
    </row>
    <row r="282" spans="1:5" x14ac:dyDescent="0.25">
      <c r="A282">
        <v>2010902</v>
      </c>
      <c r="B282">
        <v>201009</v>
      </c>
      <c r="C282">
        <v>1</v>
      </c>
      <c r="D282">
        <v>10</v>
      </c>
      <c r="E282" t="s">
        <v>49</v>
      </c>
    </row>
    <row r="283" spans="1:5" x14ac:dyDescent="0.25">
      <c r="A283">
        <v>2010903</v>
      </c>
      <c r="B283">
        <v>201009</v>
      </c>
      <c r="C283">
        <v>2</v>
      </c>
      <c r="D283">
        <v>30</v>
      </c>
      <c r="E283" t="s">
        <v>50</v>
      </c>
    </row>
    <row r="284" spans="1:5" x14ac:dyDescent="0.25">
      <c r="A284">
        <v>2010904</v>
      </c>
      <c r="B284">
        <v>201009</v>
      </c>
      <c r="C284">
        <v>3</v>
      </c>
      <c r="D284">
        <v>50</v>
      </c>
      <c r="E284" t="s">
        <v>51</v>
      </c>
    </row>
    <row r="285" spans="1:5" x14ac:dyDescent="0.25">
      <c r="A285">
        <v>2010905</v>
      </c>
      <c r="B285">
        <v>201009</v>
      </c>
      <c r="C285">
        <v>4</v>
      </c>
      <c r="D285">
        <v>1920</v>
      </c>
      <c r="E285" t="s">
        <v>52</v>
      </c>
    </row>
    <row r="286" spans="1:5" x14ac:dyDescent="0.25">
      <c r="A286">
        <v>2010906</v>
      </c>
      <c r="B286">
        <v>201009</v>
      </c>
      <c r="C286">
        <v>5</v>
      </c>
      <c r="D286">
        <v>3849</v>
      </c>
      <c r="E286" t="s">
        <v>53</v>
      </c>
    </row>
    <row r="287" spans="1:5" x14ac:dyDescent="0.25">
      <c r="A287">
        <v>2010907</v>
      </c>
      <c r="B287">
        <v>201009</v>
      </c>
      <c r="C287">
        <v>6</v>
      </c>
      <c r="D287">
        <v>7680</v>
      </c>
      <c r="E287" t="s">
        <v>54</v>
      </c>
    </row>
    <row r="288" spans="1:5" x14ac:dyDescent="0.25">
      <c r="A288">
        <v>2010908</v>
      </c>
      <c r="B288">
        <v>201009</v>
      </c>
      <c r="C288">
        <v>7</v>
      </c>
      <c r="D288">
        <v>3840</v>
      </c>
      <c r="E288" t="s">
        <v>55</v>
      </c>
    </row>
    <row r="289" spans="1:5" x14ac:dyDescent="0.25">
      <c r="A289">
        <v>2010909</v>
      </c>
      <c r="B289">
        <v>201009</v>
      </c>
      <c r="C289">
        <v>8</v>
      </c>
      <c r="D289">
        <v>7680</v>
      </c>
      <c r="E289" t="s">
        <v>56</v>
      </c>
    </row>
    <row r="290" spans="1:5" x14ac:dyDescent="0.25">
      <c r="A290">
        <v>2010910</v>
      </c>
      <c r="B290">
        <v>201009</v>
      </c>
      <c r="C290">
        <v>9</v>
      </c>
      <c r="D290">
        <v>15360</v>
      </c>
      <c r="E290" t="s">
        <v>57</v>
      </c>
    </row>
    <row r="291" spans="1:5" x14ac:dyDescent="0.25">
      <c r="A291">
        <v>2011001</v>
      </c>
      <c r="B291">
        <v>201010</v>
      </c>
      <c r="C291">
        <v>1</v>
      </c>
      <c r="D291">
        <v>0</v>
      </c>
      <c r="E291">
        <v>0</v>
      </c>
    </row>
    <row r="292" spans="1:5" x14ac:dyDescent="0.25">
      <c r="A292">
        <v>2011002</v>
      </c>
      <c r="B292">
        <v>201010</v>
      </c>
      <c r="C292">
        <v>1</v>
      </c>
      <c r="D292">
        <v>10</v>
      </c>
      <c r="E292" t="s">
        <v>49</v>
      </c>
    </row>
    <row r="293" spans="1:5" x14ac:dyDescent="0.25">
      <c r="A293">
        <v>2011003</v>
      </c>
      <c r="B293">
        <v>201010</v>
      </c>
      <c r="C293">
        <v>2</v>
      </c>
      <c r="D293">
        <v>30</v>
      </c>
      <c r="E293" t="s">
        <v>50</v>
      </c>
    </row>
    <row r="294" spans="1:5" x14ac:dyDescent="0.25">
      <c r="A294">
        <v>2011004</v>
      </c>
      <c r="B294">
        <v>201010</v>
      </c>
      <c r="C294">
        <v>3</v>
      </c>
      <c r="D294">
        <v>50</v>
      </c>
      <c r="E294" t="s">
        <v>51</v>
      </c>
    </row>
    <row r="295" spans="1:5" x14ac:dyDescent="0.25">
      <c r="A295">
        <v>2011005</v>
      </c>
      <c r="B295">
        <v>201010</v>
      </c>
      <c r="C295">
        <v>4</v>
      </c>
      <c r="D295">
        <v>1920</v>
      </c>
      <c r="E295" t="s">
        <v>52</v>
      </c>
    </row>
    <row r="296" spans="1:5" x14ac:dyDescent="0.25">
      <c r="A296">
        <v>2011006</v>
      </c>
      <c r="B296">
        <v>201010</v>
      </c>
      <c r="C296">
        <v>5</v>
      </c>
      <c r="D296">
        <v>3849</v>
      </c>
      <c r="E296" t="s">
        <v>53</v>
      </c>
    </row>
    <row r="297" spans="1:5" x14ac:dyDescent="0.25">
      <c r="A297">
        <v>2011007</v>
      </c>
      <c r="B297">
        <v>201010</v>
      </c>
      <c r="C297">
        <v>6</v>
      </c>
      <c r="D297">
        <v>7680</v>
      </c>
      <c r="E297" t="s">
        <v>54</v>
      </c>
    </row>
    <row r="298" spans="1:5" x14ac:dyDescent="0.25">
      <c r="A298">
        <v>2011008</v>
      </c>
      <c r="B298">
        <v>201010</v>
      </c>
      <c r="C298">
        <v>7</v>
      </c>
      <c r="D298">
        <v>3840</v>
      </c>
      <c r="E298" t="s">
        <v>55</v>
      </c>
    </row>
    <row r="299" spans="1:5" x14ac:dyDescent="0.25">
      <c r="A299">
        <v>2011009</v>
      </c>
      <c r="B299">
        <v>201010</v>
      </c>
      <c r="C299">
        <v>8</v>
      </c>
      <c r="D299">
        <v>7680</v>
      </c>
      <c r="E299" t="s">
        <v>56</v>
      </c>
    </row>
    <row r="300" spans="1:5" x14ac:dyDescent="0.25">
      <c r="A300">
        <v>2011010</v>
      </c>
      <c r="B300">
        <v>201010</v>
      </c>
      <c r="C300">
        <v>9</v>
      </c>
      <c r="D300">
        <v>15360</v>
      </c>
      <c r="E300" t="s">
        <v>57</v>
      </c>
    </row>
    <row r="301" spans="1:5" x14ac:dyDescent="0.25">
      <c r="A301">
        <v>2011101</v>
      </c>
      <c r="B301">
        <v>201011</v>
      </c>
      <c r="C301">
        <v>1</v>
      </c>
      <c r="D301">
        <v>0</v>
      </c>
      <c r="E301">
        <v>0</v>
      </c>
    </row>
    <row r="302" spans="1:5" x14ac:dyDescent="0.25">
      <c r="A302">
        <v>2011102</v>
      </c>
      <c r="B302">
        <v>201011</v>
      </c>
      <c r="C302">
        <v>1</v>
      </c>
      <c r="D302">
        <v>10</v>
      </c>
      <c r="E302" t="s">
        <v>49</v>
      </c>
    </row>
    <row r="303" spans="1:5" x14ac:dyDescent="0.25">
      <c r="A303">
        <v>2011103</v>
      </c>
      <c r="B303">
        <v>201011</v>
      </c>
      <c r="C303">
        <v>2</v>
      </c>
      <c r="D303">
        <v>30</v>
      </c>
      <c r="E303" t="s">
        <v>50</v>
      </c>
    </row>
    <row r="304" spans="1:5" x14ac:dyDescent="0.25">
      <c r="A304">
        <v>2011104</v>
      </c>
      <c r="B304">
        <v>201011</v>
      </c>
      <c r="C304">
        <v>3</v>
      </c>
      <c r="D304">
        <v>50</v>
      </c>
      <c r="E304" t="s">
        <v>51</v>
      </c>
    </row>
    <row r="305" spans="1:5" x14ac:dyDescent="0.25">
      <c r="A305">
        <v>2011105</v>
      </c>
      <c r="B305">
        <v>201011</v>
      </c>
      <c r="C305">
        <v>4</v>
      </c>
      <c r="D305">
        <v>1920</v>
      </c>
      <c r="E305" t="s">
        <v>52</v>
      </c>
    </row>
    <row r="306" spans="1:5" x14ac:dyDescent="0.25">
      <c r="A306">
        <v>2011106</v>
      </c>
      <c r="B306">
        <v>201011</v>
      </c>
      <c r="C306">
        <v>5</v>
      </c>
      <c r="D306">
        <v>3849</v>
      </c>
      <c r="E306" t="s">
        <v>53</v>
      </c>
    </row>
    <row r="307" spans="1:5" x14ac:dyDescent="0.25">
      <c r="A307">
        <v>2011107</v>
      </c>
      <c r="B307">
        <v>201011</v>
      </c>
      <c r="C307">
        <v>6</v>
      </c>
      <c r="D307">
        <v>7680</v>
      </c>
      <c r="E307" t="s">
        <v>54</v>
      </c>
    </row>
    <row r="308" spans="1:5" x14ac:dyDescent="0.25">
      <c r="A308">
        <v>2011108</v>
      </c>
      <c r="B308">
        <v>201011</v>
      </c>
      <c r="C308">
        <v>7</v>
      </c>
      <c r="D308">
        <v>3840</v>
      </c>
      <c r="E308" t="s">
        <v>55</v>
      </c>
    </row>
    <row r="309" spans="1:5" x14ac:dyDescent="0.25">
      <c r="A309">
        <v>2011109</v>
      </c>
      <c r="B309">
        <v>201011</v>
      </c>
      <c r="C309">
        <v>8</v>
      </c>
      <c r="D309">
        <v>7680</v>
      </c>
      <c r="E309" t="s">
        <v>56</v>
      </c>
    </row>
    <row r="310" spans="1:5" x14ac:dyDescent="0.25">
      <c r="A310">
        <v>2011110</v>
      </c>
      <c r="B310">
        <v>201011</v>
      </c>
      <c r="C310">
        <v>9</v>
      </c>
      <c r="D310">
        <v>15360</v>
      </c>
      <c r="E310" t="s">
        <v>57</v>
      </c>
    </row>
    <row r="311" spans="1:5" x14ac:dyDescent="0.25">
      <c r="A311">
        <v>2011201</v>
      </c>
      <c r="B311">
        <v>201012</v>
      </c>
      <c r="C311">
        <v>1</v>
      </c>
      <c r="D311">
        <v>0</v>
      </c>
      <c r="E311">
        <v>0</v>
      </c>
    </row>
    <row r="312" spans="1:5" x14ac:dyDescent="0.25">
      <c r="A312">
        <v>2011202</v>
      </c>
      <c r="B312">
        <v>201012</v>
      </c>
      <c r="C312">
        <v>1</v>
      </c>
      <c r="D312">
        <v>10</v>
      </c>
      <c r="E312" t="s">
        <v>49</v>
      </c>
    </row>
    <row r="313" spans="1:5" x14ac:dyDescent="0.25">
      <c r="A313">
        <v>2011203</v>
      </c>
      <c r="B313">
        <v>201012</v>
      </c>
      <c r="C313">
        <v>2</v>
      </c>
      <c r="D313">
        <v>30</v>
      </c>
      <c r="E313" t="s">
        <v>50</v>
      </c>
    </row>
    <row r="314" spans="1:5" x14ac:dyDescent="0.25">
      <c r="A314">
        <v>2011204</v>
      </c>
      <c r="B314">
        <v>201012</v>
      </c>
      <c r="C314">
        <v>3</v>
      </c>
      <c r="D314">
        <v>50</v>
      </c>
      <c r="E314" t="s">
        <v>51</v>
      </c>
    </row>
    <row r="315" spans="1:5" x14ac:dyDescent="0.25">
      <c r="A315">
        <v>2011205</v>
      </c>
      <c r="B315">
        <v>201012</v>
      </c>
      <c r="C315">
        <v>4</v>
      </c>
      <c r="D315">
        <v>1920</v>
      </c>
      <c r="E315" t="s">
        <v>52</v>
      </c>
    </row>
    <row r="316" spans="1:5" x14ac:dyDescent="0.25">
      <c r="A316">
        <v>2011206</v>
      </c>
      <c r="B316">
        <v>201012</v>
      </c>
      <c r="C316">
        <v>5</v>
      </c>
      <c r="D316">
        <v>3849</v>
      </c>
      <c r="E316" t="s">
        <v>53</v>
      </c>
    </row>
    <row r="317" spans="1:5" x14ac:dyDescent="0.25">
      <c r="A317">
        <v>2011207</v>
      </c>
      <c r="B317">
        <v>201012</v>
      </c>
      <c r="C317">
        <v>6</v>
      </c>
      <c r="D317">
        <v>7680</v>
      </c>
      <c r="E317" t="s">
        <v>54</v>
      </c>
    </row>
    <row r="318" spans="1:5" x14ac:dyDescent="0.25">
      <c r="A318">
        <v>2011208</v>
      </c>
      <c r="B318">
        <v>201012</v>
      </c>
      <c r="C318">
        <v>7</v>
      </c>
      <c r="D318">
        <v>3840</v>
      </c>
      <c r="E318" t="s">
        <v>55</v>
      </c>
    </row>
    <row r="319" spans="1:5" x14ac:dyDescent="0.25">
      <c r="A319">
        <v>2011209</v>
      </c>
      <c r="B319">
        <v>201012</v>
      </c>
      <c r="C319">
        <v>8</v>
      </c>
      <c r="D319">
        <v>7680</v>
      </c>
      <c r="E319" t="s">
        <v>56</v>
      </c>
    </row>
    <row r="320" spans="1:5" x14ac:dyDescent="0.25">
      <c r="A320">
        <v>2011210</v>
      </c>
      <c r="B320">
        <v>201012</v>
      </c>
      <c r="C320">
        <v>9</v>
      </c>
      <c r="D320">
        <v>15360</v>
      </c>
      <c r="E320" t="s">
        <v>57</v>
      </c>
    </row>
    <row r="321" spans="1:5" x14ac:dyDescent="0.25">
      <c r="A321">
        <v>2011301</v>
      </c>
      <c r="B321">
        <v>201013</v>
      </c>
      <c r="C321">
        <v>1</v>
      </c>
      <c r="D321">
        <v>0</v>
      </c>
      <c r="E321">
        <v>0</v>
      </c>
    </row>
    <row r="322" spans="1:5" x14ac:dyDescent="0.25">
      <c r="A322">
        <v>2011302</v>
      </c>
      <c r="B322">
        <v>201013</v>
      </c>
      <c r="C322">
        <v>1</v>
      </c>
      <c r="D322">
        <v>10</v>
      </c>
      <c r="E322" t="s">
        <v>49</v>
      </c>
    </row>
    <row r="323" spans="1:5" x14ac:dyDescent="0.25">
      <c r="A323">
        <v>2011303</v>
      </c>
      <c r="B323">
        <v>201013</v>
      </c>
      <c r="C323">
        <v>2</v>
      </c>
      <c r="D323">
        <v>30</v>
      </c>
      <c r="E323" t="s">
        <v>50</v>
      </c>
    </row>
    <row r="324" spans="1:5" x14ac:dyDescent="0.25">
      <c r="A324">
        <v>2011304</v>
      </c>
      <c r="B324">
        <v>201013</v>
      </c>
      <c r="C324">
        <v>3</v>
      </c>
      <c r="D324">
        <v>50</v>
      </c>
      <c r="E324" t="s">
        <v>51</v>
      </c>
    </row>
    <row r="325" spans="1:5" x14ac:dyDescent="0.25">
      <c r="A325">
        <v>2011305</v>
      </c>
      <c r="B325">
        <v>201013</v>
      </c>
      <c r="C325">
        <v>4</v>
      </c>
      <c r="D325">
        <v>1920</v>
      </c>
      <c r="E325" t="s">
        <v>52</v>
      </c>
    </row>
    <row r="326" spans="1:5" x14ac:dyDescent="0.25">
      <c r="A326">
        <v>2011306</v>
      </c>
      <c r="B326">
        <v>201013</v>
      </c>
      <c r="C326">
        <v>5</v>
      </c>
      <c r="D326">
        <v>3849</v>
      </c>
      <c r="E326" t="s">
        <v>53</v>
      </c>
    </row>
    <row r="327" spans="1:5" x14ac:dyDescent="0.25">
      <c r="A327">
        <v>2011307</v>
      </c>
      <c r="B327">
        <v>201013</v>
      </c>
      <c r="C327">
        <v>6</v>
      </c>
      <c r="D327">
        <v>7680</v>
      </c>
      <c r="E327" t="s">
        <v>54</v>
      </c>
    </row>
    <row r="328" spans="1:5" x14ac:dyDescent="0.25">
      <c r="A328">
        <v>2011308</v>
      </c>
      <c r="B328">
        <v>201013</v>
      </c>
      <c r="C328">
        <v>7</v>
      </c>
      <c r="D328">
        <v>3840</v>
      </c>
      <c r="E328" t="s">
        <v>55</v>
      </c>
    </row>
    <row r="329" spans="1:5" x14ac:dyDescent="0.25">
      <c r="A329">
        <v>2011309</v>
      </c>
      <c r="B329">
        <v>201013</v>
      </c>
      <c r="C329">
        <v>8</v>
      </c>
      <c r="D329">
        <v>7680</v>
      </c>
      <c r="E329" t="s">
        <v>56</v>
      </c>
    </row>
    <row r="330" spans="1:5" x14ac:dyDescent="0.25">
      <c r="A330">
        <v>2011310</v>
      </c>
      <c r="B330">
        <v>201013</v>
      </c>
      <c r="C330">
        <v>9</v>
      </c>
      <c r="D330">
        <v>15360</v>
      </c>
      <c r="E330" t="s">
        <v>57</v>
      </c>
    </row>
    <row r="331" spans="1:5" x14ac:dyDescent="0.25">
      <c r="A331">
        <v>2011401</v>
      </c>
      <c r="B331">
        <v>201014</v>
      </c>
      <c r="C331">
        <v>1</v>
      </c>
      <c r="D331">
        <v>0</v>
      </c>
      <c r="E331">
        <v>0</v>
      </c>
    </row>
    <row r="332" spans="1:5" x14ac:dyDescent="0.25">
      <c r="A332">
        <v>2011402</v>
      </c>
      <c r="B332">
        <v>201014</v>
      </c>
      <c r="C332">
        <v>1</v>
      </c>
      <c r="D332">
        <v>10</v>
      </c>
      <c r="E332" t="s">
        <v>49</v>
      </c>
    </row>
    <row r="333" spans="1:5" x14ac:dyDescent="0.25">
      <c r="A333">
        <v>2011403</v>
      </c>
      <c r="B333">
        <v>201014</v>
      </c>
      <c r="C333">
        <v>2</v>
      </c>
      <c r="D333">
        <v>30</v>
      </c>
      <c r="E333" t="s">
        <v>50</v>
      </c>
    </row>
    <row r="334" spans="1:5" x14ac:dyDescent="0.25">
      <c r="A334">
        <v>2011404</v>
      </c>
      <c r="B334">
        <v>201014</v>
      </c>
      <c r="C334">
        <v>3</v>
      </c>
      <c r="D334">
        <v>50</v>
      </c>
      <c r="E334" t="s">
        <v>51</v>
      </c>
    </row>
    <row r="335" spans="1:5" x14ac:dyDescent="0.25">
      <c r="A335">
        <v>2011405</v>
      </c>
      <c r="B335">
        <v>201014</v>
      </c>
      <c r="C335">
        <v>4</v>
      </c>
      <c r="D335">
        <v>1920</v>
      </c>
      <c r="E335" t="s">
        <v>52</v>
      </c>
    </row>
    <row r="336" spans="1:5" x14ac:dyDescent="0.25">
      <c r="A336">
        <v>2011406</v>
      </c>
      <c r="B336">
        <v>201014</v>
      </c>
      <c r="C336">
        <v>5</v>
      </c>
      <c r="D336">
        <v>3849</v>
      </c>
      <c r="E336" t="s">
        <v>53</v>
      </c>
    </row>
    <row r="337" spans="1:5" x14ac:dyDescent="0.25">
      <c r="A337">
        <v>2011407</v>
      </c>
      <c r="B337">
        <v>201014</v>
      </c>
      <c r="C337">
        <v>6</v>
      </c>
      <c r="D337">
        <v>7680</v>
      </c>
      <c r="E337" t="s">
        <v>54</v>
      </c>
    </row>
    <row r="338" spans="1:5" x14ac:dyDescent="0.25">
      <c r="A338">
        <v>2011408</v>
      </c>
      <c r="B338">
        <v>201014</v>
      </c>
      <c r="C338">
        <v>7</v>
      </c>
      <c r="D338">
        <v>3840</v>
      </c>
      <c r="E338" t="s">
        <v>55</v>
      </c>
    </row>
    <row r="339" spans="1:5" x14ac:dyDescent="0.25">
      <c r="A339">
        <v>2011409</v>
      </c>
      <c r="B339">
        <v>201014</v>
      </c>
      <c r="C339">
        <v>8</v>
      </c>
      <c r="D339">
        <v>7680</v>
      </c>
      <c r="E339" t="s">
        <v>56</v>
      </c>
    </row>
    <row r="340" spans="1:5" x14ac:dyDescent="0.25">
      <c r="A340">
        <v>2011410</v>
      </c>
      <c r="B340">
        <v>201014</v>
      </c>
      <c r="C340">
        <v>9</v>
      </c>
      <c r="D340">
        <v>15360</v>
      </c>
      <c r="E340" t="s">
        <v>57</v>
      </c>
    </row>
    <row r="341" spans="1:5" x14ac:dyDescent="0.25">
      <c r="A341">
        <v>2011501</v>
      </c>
      <c r="B341">
        <v>201015</v>
      </c>
      <c r="C341">
        <v>1</v>
      </c>
      <c r="D341">
        <v>0</v>
      </c>
      <c r="E341">
        <v>0</v>
      </c>
    </row>
    <row r="342" spans="1:5" x14ac:dyDescent="0.25">
      <c r="A342">
        <v>2011502</v>
      </c>
      <c r="B342">
        <v>201015</v>
      </c>
      <c r="C342">
        <v>1</v>
      </c>
      <c r="D342">
        <v>10</v>
      </c>
      <c r="E342" t="s">
        <v>49</v>
      </c>
    </row>
    <row r="343" spans="1:5" x14ac:dyDescent="0.25">
      <c r="A343">
        <v>2011503</v>
      </c>
      <c r="B343">
        <v>201015</v>
      </c>
      <c r="C343">
        <v>2</v>
      </c>
      <c r="D343">
        <v>30</v>
      </c>
      <c r="E343" t="s">
        <v>50</v>
      </c>
    </row>
    <row r="344" spans="1:5" x14ac:dyDescent="0.25">
      <c r="A344">
        <v>2011504</v>
      </c>
      <c r="B344">
        <v>201015</v>
      </c>
      <c r="C344">
        <v>3</v>
      </c>
      <c r="D344">
        <v>50</v>
      </c>
      <c r="E344" t="s">
        <v>51</v>
      </c>
    </row>
    <row r="345" spans="1:5" x14ac:dyDescent="0.25">
      <c r="A345">
        <v>2011505</v>
      </c>
      <c r="B345">
        <v>201015</v>
      </c>
      <c r="C345">
        <v>4</v>
      </c>
      <c r="D345">
        <v>1920</v>
      </c>
      <c r="E345" t="s">
        <v>52</v>
      </c>
    </row>
    <row r="346" spans="1:5" x14ac:dyDescent="0.25">
      <c r="A346">
        <v>2011506</v>
      </c>
      <c r="B346">
        <v>201015</v>
      </c>
      <c r="C346">
        <v>5</v>
      </c>
      <c r="D346">
        <v>3849</v>
      </c>
      <c r="E346" t="s">
        <v>53</v>
      </c>
    </row>
    <row r="347" spans="1:5" x14ac:dyDescent="0.25">
      <c r="A347">
        <v>2011507</v>
      </c>
      <c r="B347">
        <v>201015</v>
      </c>
      <c r="C347">
        <v>6</v>
      </c>
      <c r="D347">
        <v>7680</v>
      </c>
      <c r="E347" t="s">
        <v>54</v>
      </c>
    </row>
    <row r="348" spans="1:5" x14ac:dyDescent="0.25">
      <c r="A348">
        <v>2011508</v>
      </c>
      <c r="B348">
        <v>201015</v>
      </c>
      <c r="C348">
        <v>7</v>
      </c>
      <c r="D348">
        <v>3840</v>
      </c>
      <c r="E348" t="s">
        <v>55</v>
      </c>
    </row>
    <row r="349" spans="1:5" x14ac:dyDescent="0.25">
      <c r="A349">
        <v>2011509</v>
      </c>
      <c r="B349">
        <v>201015</v>
      </c>
      <c r="C349">
        <v>8</v>
      </c>
      <c r="D349">
        <v>7680</v>
      </c>
      <c r="E349" t="s">
        <v>56</v>
      </c>
    </row>
    <row r="350" spans="1:5" x14ac:dyDescent="0.25">
      <c r="A350">
        <v>2011510</v>
      </c>
      <c r="B350">
        <v>201015</v>
      </c>
      <c r="C350">
        <v>9</v>
      </c>
      <c r="D350">
        <v>15360</v>
      </c>
      <c r="E350" t="s">
        <v>57</v>
      </c>
    </row>
    <row r="351" spans="1:5" x14ac:dyDescent="0.25">
      <c r="A351">
        <v>2011601</v>
      </c>
      <c r="B351">
        <v>201016</v>
      </c>
      <c r="C351">
        <v>1</v>
      </c>
      <c r="D351">
        <v>0</v>
      </c>
      <c r="E351">
        <v>0</v>
      </c>
    </row>
    <row r="352" spans="1:5" x14ac:dyDescent="0.25">
      <c r="A352">
        <v>2011602</v>
      </c>
      <c r="B352">
        <v>201016</v>
      </c>
      <c r="C352">
        <v>1</v>
      </c>
      <c r="D352">
        <v>10</v>
      </c>
      <c r="E352" t="s">
        <v>49</v>
      </c>
    </row>
    <row r="353" spans="1:5" x14ac:dyDescent="0.25">
      <c r="A353">
        <v>2011603</v>
      </c>
      <c r="B353">
        <v>201016</v>
      </c>
      <c r="C353">
        <v>2</v>
      </c>
      <c r="D353">
        <v>30</v>
      </c>
      <c r="E353" t="s">
        <v>50</v>
      </c>
    </row>
    <row r="354" spans="1:5" x14ac:dyDescent="0.25">
      <c r="A354">
        <v>2011604</v>
      </c>
      <c r="B354">
        <v>201016</v>
      </c>
      <c r="C354">
        <v>3</v>
      </c>
      <c r="D354">
        <v>50</v>
      </c>
      <c r="E354" t="s">
        <v>51</v>
      </c>
    </row>
    <row r="355" spans="1:5" x14ac:dyDescent="0.25">
      <c r="A355">
        <v>2011605</v>
      </c>
      <c r="B355">
        <v>201016</v>
      </c>
      <c r="C355">
        <v>4</v>
      </c>
      <c r="D355">
        <v>1920</v>
      </c>
      <c r="E355" t="s">
        <v>52</v>
      </c>
    </row>
    <row r="356" spans="1:5" x14ac:dyDescent="0.25">
      <c r="A356">
        <v>2011606</v>
      </c>
      <c r="B356">
        <v>201016</v>
      </c>
      <c r="C356">
        <v>5</v>
      </c>
      <c r="D356">
        <v>3849</v>
      </c>
      <c r="E356" t="s">
        <v>53</v>
      </c>
    </row>
    <row r="357" spans="1:5" x14ac:dyDescent="0.25">
      <c r="A357">
        <v>2011607</v>
      </c>
      <c r="B357">
        <v>201016</v>
      </c>
      <c r="C357">
        <v>6</v>
      </c>
      <c r="D357">
        <v>7680</v>
      </c>
      <c r="E357" t="s">
        <v>54</v>
      </c>
    </row>
    <row r="358" spans="1:5" x14ac:dyDescent="0.25">
      <c r="A358">
        <v>2011608</v>
      </c>
      <c r="B358">
        <v>201016</v>
      </c>
      <c r="C358">
        <v>7</v>
      </c>
      <c r="D358">
        <v>3840</v>
      </c>
      <c r="E358" t="s">
        <v>55</v>
      </c>
    </row>
    <row r="359" spans="1:5" x14ac:dyDescent="0.25">
      <c r="A359">
        <v>2011609</v>
      </c>
      <c r="B359">
        <v>201016</v>
      </c>
      <c r="C359">
        <v>8</v>
      </c>
      <c r="D359">
        <v>7680</v>
      </c>
      <c r="E359" t="s">
        <v>56</v>
      </c>
    </row>
    <row r="360" spans="1:5" x14ac:dyDescent="0.25">
      <c r="A360">
        <v>2011610</v>
      </c>
      <c r="B360">
        <v>201016</v>
      </c>
      <c r="C360">
        <v>9</v>
      </c>
      <c r="D360">
        <v>15360</v>
      </c>
      <c r="E360" t="s">
        <v>57</v>
      </c>
    </row>
    <row r="361" spans="1:5" x14ac:dyDescent="0.25">
      <c r="A361">
        <v>2011701</v>
      </c>
      <c r="B361">
        <v>201017</v>
      </c>
      <c r="C361">
        <v>1</v>
      </c>
      <c r="D361">
        <v>0</v>
      </c>
      <c r="E361">
        <v>0</v>
      </c>
    </row>
    <row r="362" spans="1:5" x14ac:dyDescent="0.25">
      <c r="A362">
        <v>2011702</v>
      </c>
      <c r="B362">
        <v>201017</v>
      </c>
      <c r="C362">
        <v>1</v>
      </c>
      <c r="D362">
        <v>10</v>
      </c>
      <c r="E362" t="s">
        <v>49</v>
      </c>
    </row>
    <row r="363" spans="1:5" x14ac:dyDescent="0.25">
      <c r="A363">
        <v>2011703</v>
      </c>
      <c r="B363">
        <v>201017</v>
      </c>
      <c r="C363">
        <v>2</v>
      </c>
      <c r="D363">
        <v>30</v>
      </c>
      <c r="E363" t="s">
        <v>50</v>
      </c>
    </row>
    <row r="364" spans="1:5" x14ac:dyDescent="0.25">
      <c r="A364">
        <v>2011704</v>
      </c>
      <c r="B364">
        <v>201017</v>
      </c>
      <c r="C364">
        <v>3</v>
      </c>
      <c r="D364">
        <v>50</v>
      </c>
      <c r="E364" t="s">
        <v>51</v>
      </c>
    </row>
    <row r="365" spans="1:5" x14ac:dyDescent="0.25">
      <c r="A365">
        <v>2011705</v>
      </c>
      <c r="B365">
        <v>201017</v>
      </c>
      <c r="C365">
        <v>4</v>
      </c>
      <c r="D365">
        <v>1920</v>
      </c>
      <c r="E365" t="s">
        <v>52</v>
      </c>
    </row>
    <row r="366" spans="1:5" x14ac:dyDescent="0.25">
      <c r="A366">
        <v>2011706</v>
      </c>
      <c r="B366">
        <v>201017</v>
      </c>
      <c r="C366">
        <v>5</v>
      </c>
      <c r="D366">
        <v>3849</v>
      </c>
      <c r="E366" t="s">
        <v>53</v>
      </c>
    </row>
    <row r="367" spans="1:5" x14ac:dyDescent="0.25">
      <c r="A367">
        <v>2011707</v>
      </c>
      <c r="B367">
        <v>201017</v>
      </c>
      <c r="C367">
        <v>6</v>
      </c>
      <c r="D367">
        <v>7680</v>
      </c>
      <c r="E367" t="s">
        <v>54</v>
      </c>
    </row>
    <row r="368" spans="1:5" x14ac:dyDescent="0.25">
      <c r="A368">
        <v>2011708</v>
      </c>
      <c r="B368">
        <v>201017</v>
      </c>
      <c r="C368">
        <v>7</v>
      </c>
      <c r="D368">
        <v>3840</v>
      </c>
      <c r="E368" t="s">
        <v>55</v>
      </c>
    </row>
    <row r="369" spans="1:5" x14ac:dyDescent="0.25">
      <c r="A369">
        <v>2011709</v>
      </c>
      <c r="B369">
        <v>201017</v>
      </c>
      <c r="C369">
        <v>8</v>
      </c>
      <c r="D369">
        <v>7680</v>
      </c>
      <c r="E369" t="s">
        <v>56</v>
      </c>
    </row>
    <row r="370" spans="1:5" x14ac:dyDescent="0.25">
      <c r="A370">
        <v>2011710</v>
      </c>
      <c r="B370">
        <v>201017</v>
      </c>
      <c r="C370">
        <v>9</v>
      </c>
      <c r="D370">
        <v>15360</v>
      </c>
      <c r="E370" t="s">
        <v>57</v>
      </c>
    </row>
    <row r="371" spans="1:5" x14ac:dyDescent="0.25">
      <c r="A371">
        <v>3010101</v>
      </c>
      <c r="B371">
        <v>301001</v>
      </c>
      <c r="C371">
        <v>1</v>
      </c>
      <c r="D371">
        <v>0</v>
      </c>
      <c r="E371">
        <v>0</v>
      </c>
    </row>
    <row r="372" spans="1:5" x14ac:dyDescent="0.25">
      <c r="A372">
        <v>3010102</v>
      </c>
      <c r="B372">
        <v>301001</v>
      </c>
      <c r="C372">
        <v>1</v>
      </c>
      <c r="D372">
        <v>10</v>
      </c>
      <c r="E372" t="s">
        <v>256</v>
      </c>
    </row>
    <row r="373" spans="1:5" x14ac:dyDescent="0.25">
      <c r="A373">
        <v>3010103</v>
      </c>
      <c r="B373">
        <v>301001</v>
      </c>
      <c r="C373">
        <v>2</v>
      </c>
      <c r="D373">
        <v>30</v>
      </c>
      <c r="E373" t="s">
        <v>257</v>
      </c>
    </row>
    <row r="374" spans="1:5" x14ac:dyDescent="0.25">
      <c r="A374">
        <v>3010104</v>
      </c>
      <c r="B374">
        <v>301001</v>
      </c>
      <c r="C374">
        <v>3</v>
      </c>
      <c r="D374">
        <v>50</v>
      </c>
      <c r="E374" t="s">
        <v>258</v>
      </c>
    </row>
    <row r="375" spans="1:5" x14ac:dyDescent="0.25">
      <c r="A375">
        <v>3010105</v>
      </c>
      <c r="B375">
        <v>301001</v>
      </c>
      <c r="C375">
        <v>4</v>
      </c>
      <c r="D375">
        <v>1920</v>
      </c>
      <c r="E375" t="s">
        <v>259</v>
      </c>
    </row>
    <row r="376" spans="1:5" x14ac:dyDescent="0.25">
      <c r="A376">
        <v>3010106</v>
      </c>
      <c r="B376">
        <v>301001</v>
      </c>
      <c r="C376">
        <v>5</v>
      </c>
      <c r="D376">
        <v>3849</v>
      </c>
      <c r="E376" t="s">
        <v>260</v>
      </c>
    </row>
    <row r="377" spans="1:5" x14ac:dyDescent="0.25">
      <c r="A377">
        <v>3010107</v>
      </c>
      <c r="B377">
        <v>301001</v>
      </c>
      <c r="C377">
        <v>6</v>
      </c>
      <c r="D377">
        <v>7680</v>
      </c>
      <c r="E377" t="s">
        <v>261</v>
      </c>
    </row>
    <row r="378" spans="1:5" x14ac:dyDescent="0.25">
      <c r="A378">
        <v>3010108</v>
      </c>
      <c r="B378">
        <v>301001</v>
      </c>
      <c r="C378">
        <v>7</v>
      </c>
      <c r="D378">
        <v>3840</v>
      </c>
      <c r="E378" t="s">
        <v>262</v>
      </c>
    </row>
    <row r="379" spans="1:5" x14ac:dyDescent="0.25">
      <c r="A379">
        <v>3010109</v>
      </c>
      <c r="B379">
        <v>301001</v>
      </c>
      <c r="C379">
        <v>8</v>
      </c>
      <c r="D379">
        <v>7680</v>
      </c>
      <c r="E379" t="s">
        <v>263</v>
      </c>
    </row>
    <row r="380" spans="1:5" x14ac:dyDescent="0.25">
      <c r="A380">
        <v>3010110</v>
      </c>
      <c r="B380">
        <v>301001</v>
      </c>
      <c r="C380">
        <v>9</v>
      </c>
      <c r="D380">
        <v>15360</v>
      </c>
      <c r="E380" t="s">
        <v>264</v>
      </c>
    </row>
    <row r="381" spans="1:5" x14ac:dyDescent="0.25">
      <c r="A381">
        <v>3010201</v>
      </c>
      <c r="B381">
        <v>301002</v>
      </c>
      <c r="C381">
        <v>1</v>
      </c>
      <c r="D381">
        <v>0</v>
      </c>
      <c r="E381">
        <v>0</v>
      </c>
    </row>
    <row r="382" spans="1:5" x14ac:dyDescent="0.25">
      <c r="A382">
        <v>3010202</v>
      </c>
      <c r="B382">
        <v>301002</v>
      </c>
      <c r="C382">
        <v>1</v>
      </c>
      <c r="D382">
        <v>10</v>
      </c>
      <c r="E382" t="s">
        <v>256</v>
      </c>
    </row>
    <row r="383" spans="1:5" x14ac:dyDescent="0.25">
      <c r="A383">
        <v>3010203</v>
      </c>
      <c r="B383">
        <v>301002</v>
      </c>
      <c r="C383">
        <v>2</v>
      </c>
      <c r="D383">
        <v>30</v>
      </c>
      <c r="E383" t="s">
        <v>257</v>
      </c>
    </row>
    <row r="384" spans="1:5" x14ac:dyDescent="0.25">
      <c r="A384">
        <v>3010204</v>
      </c>
      <c r="B384">
        <v>301002</v>
      </c>
      <c r="C384">
        <v>3</v>
      </c>
      <c r="D384">
        <v>50</v>
      </c>
      <c r="E384" t="s">
        <v>258</v>
      </c>
    </row>
    <row r="385" spans="1:5" x14ac:dyDescent="0.25">
      <c r="A385">
        <v>3010205</v>
      </c>
      <c r="B385">
        <v>301002</v>
      </c>
      <c r="C385">
        <v>4</v>
      </c>
      <c r="D385">
        <v>1920</v>
      </c>
      <c r="E385" t="s">
        <v>259</v>
      </c>
    </row>
    <row r="386" spans="1:5" x14ac:dyDescent="0.25">
      <c r="A386">
        <v>3010206</v>
      </c>
      <c r="B386">
        <v>301002</v>
      </c>
      <c r="C386">
        <v>5</v>
      </c>
      <c r="D386">
        <v>3849</v>
      </c>
      <c r="E386" t="s">
        <v>260</v>
      </c>
    </row>
    <row r="387" spans="1:5" x14ac:dyDescent="0.25">
      <c r="A387">
        <v>3010207</v>
      </c>
      <c r="B387">
        <v>301002</v>
      </c>
      <c r="C387">
        <v>6</v>
      </c>
      <c r="D387">
        <v>7680</v>
      </c>
      <c r="E387" t="s">
        <v>261</v>
      </c>
    </row>
    <row r="388" spans="1:5" x14ac:dyDescent="0.25">
      <c r="A388">
        <v>3010208</v>
      </c>
      <c r="B388">
        <v>301002</v>
      </c>
      <c r="C388">
        <v>7</v>
      </c>
      <c r="D388">
        <v>3840</v>
      </c>
      <c r="E388" t="s">
        <v>262</v>
      </c>
    </row>
    <row r="389" spans="1:5" x14ac:dyDescent="0.25">
      <c r="A389">
        <v>3010209</v>
      </c>
      <c r="B389">
        <v>301002</v>
      </c>
      <c r="C389">
        <v>8</v>
      </c>
      <c r="D389">
        <v>7680</v>
      </c>
      <c r="E389" t="s">
        <v>263</v>
      </c>
    </row>
    <row r="390" spans="1:5" x14ac:dyDescent="0.25">
      <c r="A390">
        <v>3010210</v>
      </c>
      <c r="B390">
        <v>301002</v>
      </c>
      <c r="C390">
        <v>9</v>
      </c>
      <c r="D390">
        <v>15360</v>
      </c>
      <c r="E390" t="s">
        <v>264</v>
      </c>
    </row>
    <row r="391" spans="1:5" x14ac:dyDescent="0.25">
      <c r="A391">
        <v>3010301</v>
      </c>
      <c r="B391">
        <v>301003</v>
      </c>
      <c r="C391">
        <v>1</v>
      </c>
      <c r="D391">
        <v>0</v>
      </c>
      <c r="E391">
        <v>0</v>
      </c>
    </row>
    <row r="392" spans="1:5" x14ac:dyDescent="0.25">
      <c r="A392">
        <v>3010302</v>
      </c>
      <c r="B392">
        <v>301003</v>
      </c>
      <c r="C392">
        <v>1</v>
      </c>
      <c r="D392">
        <v>10</v>
      </c>
      <c r="E392" t="s">
        <v>256</v>
      </c>
    </row>
    <row r="393" spans="1:5" x14ac:dyDescent="0.25">
      <c r="A393">
        <v>3010303</v>
      </c>
      <c r="B393">
        <v>301003</v>
      </c>
      <c r="C393">
        <v>2</v>
      </c>
      <c r="D393">
        <v>30</v>
      </c>
      <c r="E393" t="s">
        <v>257</v>
      </c>
    </row>
    <row r="394" spans="1:5" x14ac:dyDescent="0.25">
      <c r="A394">
        <v>3010304</v>
      </c>
      <c r="B394">
        <v>301003</v>
      </c>
      <c r="C394">
        <v>3</v>
      </c>
      <c r="D394">
        <v>50</v>
      </c>
      <c r="E394" t="s">
        <v>258</v>
      </c>
    </row>
    <row r="395" spans="1:5" x14ac:dyDescent="0.25">
      <c r="A395">
        <v>3010305</v>
      </c>
      <c r="B395">
        <v>301003</v>
      </c>
      <c r="C395">
        <v>4</v>
      </c>
      <c r="D395">
        <v>1920</v>
      </c>
      <c r="E395" t="s">
        <v>259</v>
      </c>
    </row>
    <row r="396" spans="1:5" x14ac:dyDescent="0.25">
      <c r="A396">
        <v>3010306</v>
      </c>
      <c r="B396">
        <v>301003</v>
      </c>
      <c r="C396">
        <v>5</v>
      </c>
      <c r="D396">
        <v>3849</v>
      </c>
      <c r="E396" t="s">
        <v>260</v>
      </c>
    </row>
    <row r="397" spans="1:5" x14ac:dyDescent="0.25">
      <c r="A397">
        <v>3010307</v>
      </c>
      <c r="B397">
        <v>301003</v>
      </c>
      <c r="C397">
        <v>6</v>
      </c>
      <c r="D397">
        <v>7680</v>
      </c>
      <c r="E397" t="s">
        <v>261</v>
      </c>
    </row>
    <row r="398" spans="1:5" x14ac:dyDescent="0.25">
      <c r="A398">
        <v>3010308</v>
      </c>
      <c r="B398">
        <v>301003</v>
      </c>
      <c r="C398">
        <v>7</v>
      </c>
      <c r="D398">
        <v>3840</v>
      </c>
      <c r="E398" t="s">
        <v>262</v>
      </c>
    </row>
    <row r="399" spans="1:5" x14ac:dyDescent="0.25">
      <c r="A399">
        <v>3010309</v>
      </c>
      <c r="B399">
        <v>301003</v>
      </c>
      <c r="C399">
        <v>8</v>
      </c>
      <c r="D399">
        <v>7680</v>
      </c>
      <c r="E399" t="s">
        <v>263</v>
      </c>
    </row>
    <row r="400" spans="1:5" x14ac:dyDescent="0.25">
      <c r="A400">
        <v>3010310</v>
      </c>
      <c r="B400">
        <v>301003</v>
      </c>
      <c r="C400">
        <v>9</v>
      </c>
      <c r="D400">
        <v>15360</v>
      </c>
      <c r="E400" t="s">
        <v>264</v>
      </c>
    </row>
    <row r="401" spans="1:5" x14ac:dyDescent="0.25">
      <c r="A401">
        <v>3010401</v>
      </c>
      <c r="B401">
        <v>301004</v>
      </c>
      <c r="C401">
        <v>1</v>
      </c>
      <c r="D401">
        <v>0</v>
      </c>
      <c r="E401">
        <v>0</v>
      </c>
    </row>
    <row r="402" spans="1:5" x14ac:dyDescent="0.25">
      <c r="A402">
        <v>3010402</v>
      </c>
      <c r="B402">
        <v>301004</v>
      </c>
      <c r="C402">
        <v>1</v>
      </c>
      <c r="D402">
        <v>10</v>
      </c>
      <c r="E402" t="s">
        <v>256</v>
      </c>
    </row>
    <row r="403" spans="1:5" x14ac:dyDescent="0.25">
      <c r="A403">
        <v>3010403</v>
      </c>
      <c r="B403">
        <v>301004</v>
      </c>
      <c r="C403">
        <v>2</v>
      </c>
      <c r="D403">
        <v>30</v>
      </c>
      <c r="E403" t="s">
        <v>257</v>
      </c>
    </row>
    <row r="404" spans="1:5" x14ac:dyDescent="0.25">
      <c r="A404">
        <v>3010404</v>
      </c>
      <c r="B404">
        <v>301004</v>
      </c>
      <c r="C404">
        <v>3</v>
      </c>
      <c r="D404">
        <v>50</v>
      </c>
      <c r="E404" t="s">
        <v>258</v>
      </c>
    </row>
    <row r="405" spans="1:5" x14ac:dyDescent="0.25">
      <c r="A405">
        <v>3010405</v>
      </c>
      <c r="B405">
        <v>301004</v>
      </c>
      <c r="C405">
        <v>4</v>
      </c>
      <c r="D405">
        <v>1920</v>
      </c>
      <c r="E405" t="s">
        <v>259</v>
      </c>
    </row>
    <row r="406" spans="1:5" x14ac:dyDescent="0.25">
      <c r="A406">
        <v>3010406</v>
      </c>
      <c r="B406">
        <v>301004</v>
      </c>
      <c r="C406">
        <v>5</v>
      </c>
      <c r="D406">
        <v>3849</v>
      </c>
      <c r="E406" t="s">
        <v>260</v>
      </c>
    </row>
    <row r="407" spans="1:5" x14ac:dyDescent="0.25">
      <c r="A407">
        <v>3010407</v>
      </c>
      <c r="B407">
        <v>301004</v>
      </c>
      <c r="C407">
        <v>6</v>
      </c>
      <c r="D407">
        <v>7680</v>
      </c>
      <c r="E407" t="s">
        <v>261</v>
      </c>
    </row>
    <row r="408" spans="1:5" x14ac:dyDescent="0.25">
      <c r="A408">
        <v>3010408</v>
      </c>
      <c r="B408">
        <v>301004</v>
      </c>
      <c r="C408">
        <v>7</v>
      </c>
      <c r="D408">
        <v>3840</v>
      </c>
      <c r="E408" t="s">
        <v>262</v>
      </c>
    </row>
    <row r="409" spans="1:5" x14ac:dyDescent="0.25">
      <c r="A409">
        <v>3010409</v>
      </c>
      <c r="B409">
        <v>301004</v>
      </c>
      <c r="C409">
        <v>8</v>
      </c>
      <c r="D409">
        <v>7680</v>
      </c>
      <c r="E409" t="s">
        <v>263</v>
      </c>
    </row>
    <row r="410" spans="1:5" x14ac:dyDescent="0.25">
      <c r="A410">
        <v>3010410</v>
      </c>
      <c r="B410">
        <v>301004</v>
      </c>
      <c r="C410">
        <v>9</v>
      </c>
      <c r="D410">
        <v>15360</v>
      </c>
      <c r="E410" t="s">
        <v>264</v>
      </c>
    </row>
    <row r="411" spans="1:5" x14ac:dyDescent="0.25">
      <c r="A411">
        <v>3010501</v>
      </c>
      <c r="B411">
        <v>301005</v>
      </c>
      <c r="C411">
        <v>1</v>
      </c>
      <c r="D411">
        <v>0</v>
      </c>
      <c r="E411">
        <v>0</v>
      </c>
    </row>
    <row r="412" spans="1:5" x14ac:dyDescent="0.25">
      <c r="A412">
        <v>3010502</v>
      </c>
      <c r="B412">
        <v>301005</v>
      </c>
      <c r="C412">
        <v>1</v>
      </c>
      <c r="D412">
        <v>10</v>
      </c>
      <c r="E412" t="s">
        <v>256</v>
      </c>
    </row>
    <row r="413" spans="1:5" x14ac:dyDescent="0.25">
      <c r="A413">
        <v>3010503</v>
      </c>
      <c r="B413">
        <v>301005</v>
      </c>
      <c r="C413">
        <v>2</v>
      </c>
      <c r="D413">
        <v>30</v>
      </c>
      <c r="E413" t="s">
        <v>257</v>
      </c>
    </row>
    <row r="414" spans="1:5" x14ac:dyDescent="0.25">
      <c r="A414">
        <v>3010504</v>
      </c>
      <c r="B414">
        <v>301005</v>
      </c>
      <c r="C414">
        <v>3</v>
      </c>
      <c r="D414">
        <v>50</v>
      </c>
      <c r="E414" t="s">
        <v>258</v>
      </c>
    </row>
    <row r="415" spans="1:5" x14ac:dyDescent="0.25">
      <c r="A415">
        <v>3010505</v>
      </c>
      <c r="B415">
        <v>301005</v>
      </c>
      <c r="C415">
        <v>4</v>
      </c>
      <c r="D415">
        <v>1920</v>
      </c>
      <c r="E415" t="s">
        <v>259</v>
      </c>
    </row>
    <row r="416" spans="1:5" x14ac:dyDescent="0.25">
      <c r="A416">
        <v>3010506</v>
      </c>
      <c r="B416">
        <v>301005</v>
      </c>
      <c r="C416">
        <v>5</v>
      </c>
      <c r="D416">
        <v>3849</v>
      </c>
      <c r="E416" t="s">
        <v>260</v>
      </c>
    </row>
    <row r="417" spans="1:5" x14ac:dyDescent="0.25">
      <c r="A417">
        <v>3010507</v>
      </c>
      <c r="B417">
        <v>301005</v>
      </c>
      <c r="C417">
        <v>6</v>
      </c>
      <c r="D417">
        <v>7680</v>
      </c>
      <c r="E417" t="s">
        <v>261</v>
      </c>
    </row>
    <row r="418" spans="1:5" x14ac:dyDescent="0.25">
      <c r="A418">
        <v>3010508</v>
      </c>
      <c r="B418">
        <v>301005</v>
      </c>
      <c r="C418">
        <v>7</v>
      </c>
      <c r="D418">
        <v>3840</v>
      </c>
      <c r="E418" t="s">
        <v>262</v>
      </c>
    </row>
    <row r="419" spans="1:5" x14ac:dyDescent="0.25">
      <c r="A419">
        <v>3010509</v>
      </c>
      <c r="B419">
        <v>301005</v>
      </c>
      <c r="C419">
        <v>8</v>
      </c>
      <c r="D419">
        <v>7680</v>
      </c>
      <c r="E419" t="s">
        <v>263</v>
      </c>
    </row>
    <row r="420" spans="1:5" x14ac:dyDescent="0.25">
      <c r="A420">
        <v>3010510</v>
      </c>
      <c r="B420">
        <v>301005</v>
      </c>
      <c r="C420">
        <v>9</v>
      </c>
      <c r="D420">
        <v>15360</v>
      </c>
      <c r="E420" t="s">
        <v>264</v>
      </c>
    </row>
    <row r="421" spans="1:5" x14ac:dyDescent="0.25">
      <c r="A421">
        <v>3010601</v>
      </c>
      <c r="B421">
        <v>301006</v>
      </c>
      <c r="C421">
        <v>1</v>
      </c>
      <c r="D421">
        <v>0</v>
      </c>
      <c r="E421">
        <v>0</v>
      </c>
    </row>
    <row r="422" spans="1:5" x14ac:dyDescent="0.25">
      <c r="A422">
        <v>3010602</v>
      </c>
      <c r="B422">
        <v>301006</v>
      </c>
      <c r="C422">
        <v>1</v>
      </c>
      <c r="D422">
        <v>10</v>
      </c>
      <c r="E422" t="s">
        <v>256</v>
      </c>
    </row>
    <row r="423" spans="1:5" x14ac:dyDescent="0.25">
      <c r="A423">
        <v>3010603</v>
      </c>
      <c r="B423">
        <v>301006</v>
      </c>
      <c r="C423">
        <v>2</v>
      </c>
      <c r="D423">
        <v>30</v>
      </c>
      <c r="E423" t="s">
        <v>257</v>
      </c>
    </row>
    <row r="424" spans="1:5" x14ac:dyDescent="0.25">
      <c r="A424">
        <v>3010604</v>
      </c>
      <c r="B424">
        <v>301006</v>
      </c>
      <c r="C424">
        <v>3</v>
      </c>
      <c r="D424">
        <v>50</v>
      </c>
      <c r="E424" t="s">
        <v>258</v>
      </c>
    </row>
    <row r="425" spans="1:5" x14ac:dyDescent="0.25">
      <c r="A425">
        <v>3010605</v>
      </c>
      <c r="B425">
        <v>301006</v>
      </c>
      <c r="C425">
        <v>4</v>
      </c>
      <c r="D425">
        <v>1920</v>
      </c>
      <c r="E425" t="s">
        <v>259</v>
      </c>
    </row>
    <row r="426" spans="1:5" x14ac:dyDescent="0.25">
      <c r="A426">
        <v>3010606</v>
      </c>
      <c r="B426">
        <v>301006</v>
      </c>
      <c r="C426">
        <v>5</v>
      </c>
      <c r="D426">
        <v>3840</v>
      </c>
      <c r="E426" t="s">
        <v>260</v>
      </c>
    </row>
    <row r="427" spans="1:5" x14ac:dyDescent="0.25">
      <c r="A427">
        <v>3010607</v>
      </c>
      <c r="B427">
        <v>301006</v>
      </c>
      <c r="C427">
        <v>6</v>
      </c>
      <c r="D427">
        <v>7680</v>
      </c>
      <c r="E427" t="s">
        <v>261</v>
      </c>
    </row>
    <row r="428" spans="1:5" x14ac:dyDescent="0.25">
      <c r="A428">
        <v>3010608</v>
      </c>
      <c r="B428">
        <v>301006</v>
      </c>
      <c r="C428">
        <v>7</v>
      </c>
      <c r="D428">
        <v>15360</v>
      </c>
      <c r="E428" t="s">
        <v>262</v>
      </c>
    </row>
    <row r="429" spans="1:5" x14ac:dyDescent="0.25">
      <c r="A429">
        <v>3010607</v>
      </c>
      <c r="B429">
        <v>301006</v>
      </c>
      <c r="C429">
        <v>8</v>
      </c>
      <c r="D429">
        <v>7680</v>
      </c>
      <c r="E429" t="s">
        <v>263</v>
      </c>
    </row>
    <row r="430" spans="1:5" x14ac:dyDescent="0.25">
      <c r="A430">
        <v>3010608</v>
      </c>
      <c r="B430">
        <v>301006</v>
      </c>
      <c r="C430">
        <v>9</v>
      </c>
      <c r="D430">
        <v>15360</v>
      </c>
      <c r="E430" t="s">
        <v>264</v>
      </c>
    </row>
    <row r="431" spans="1:5" x14ac:dyDescent="0.25">
      <c r="A431">
        <v>3010701</v>
      </c>
      <c r="B431">
        <v>301007</v>
      </c>
      <c r="C431">
        <v>1</v>
      </c>
      <c r="D431">
        <v>0</v>
      </c>
      <c r="E431">
        <v>0</v>
      </c>
    </row>
    <row r="432" spans="1:5" x14ac:dyDescent="0.25">
      <c r="A432">
        <v>3010702</v>
      </c>
      <c r="B432">
        <v>301007</v>
      </c>
      <c r="C432">
        <v>1</v>
      </c>
      <c r="D432">
        <v>10</v>
      </c>
      <c r="E432" t="s">
        <v>256</v>
      </c>
    </row>
    <row r="433" spans="1:5" x14ac:dyDescent="0.25">
      <c r="A433">
        <v>3010703</v>
      </c>
      <c r="B433">
        <v>301007</v>
      </c>
      <c r="C433">
        <v>2</v>
      </c>
      <c r="D433">
        <v>30</v>
      </c>
      <c r="E433" t="s">
        <v>257</v>
      </c>
    </row>
    <row r="434" spans="1:5" x14ac:dyDescent="0.25">
      <c r="A434">
        <v>3010704</v>
      </c>
      <c r="B434">
        <v>301007</v>
      </c>
      <c r="C434">
        <v>3</v>
      </c>
      <c r="D434">
        <v>50</v>
      </c>
      <c r="E434" t="s">
        <v>258</v>
      </c>
    </row>
    <row r="435" spans="1:5" x14ac:dyDescent="0.25">
      <c r="A435">
        <v>3010705</v>
      </c>
      <c r="B435">
        <v>301007</v>
      </c>
      <c r="C435">
        <v>4</v>
      </c>
      <c r="D435">
        <v>1920</v>
      </c>
      <c r="E435" t="s">
        <v>259</v>
      </c>
    </row>
    <row r="436" spans="1:5" x14ac:dyDescent="0.25">
      <c r="A436">
        <v>3010706</v>
      </c>
      <c r="B436">
        <v>301007</v>
      </c>
      <c r="C436">
        <v>5</v>
      </c>
      <c r="D436">
        <v>3849</v>
      </c>
      <c r="E436" t="s">
        <v>260</v>
      </c>
    </row>
    <row r="437" spans="1:5" x14ac:dyDescent="0.25">
      <c r="A437">
        <v>3010707</v>
      </c>
      <c r="B437">
        <v>301007</v>
      </c>
      <c r="C437">
        <v>6</v>
      </c>
      <c r="D437">
        <v>7680</v>
      </c>
      <c r="E437" t="s">
        <v>261</v>
      </c>
    </row>
    <row r="438" spans="1:5" x14ac:dyDescent="0.25">
      <c r="A438">
        <v>3010708</v>
      </c>
      <c r="B438">
        <v>301007</v>
      </c>
      <c r="C438">
        <v>7</v>
      </c>
      <c r="D438">
        <v>3840</v>
      </c>
      <c r="E438" t="s">
        <v>262</v>
      </c>
    </row>
    <row r="439" spans="1:5" x14ac:dyDescent="0.25">
      <c r="A439">
        <v>3010709</v>
      </c>
      <c r="B439">
        <v>301007</v>
      </c>
      <c r="C439">
        <v>8</v>
      </c>
      <c r="D439">
        <v>7680</v>
      </c>
      <c r="E439" t="s">
        <v>263</v>
      </c>
    </row>
    <row r="440" spans="1:5" x14ac:dyDescent="0.25">
      <c r="A440">
        <v>3010710</v>
      </c>
      <c r="B440">
        <v>301007</v>
      </c>
      <c r="C440">
        <v>9</v>
      </c>
      <c r="D440">
        <v>15360</v>
      </c>
      <c r="E440" t="s">
        <v>264</v>
      </c>
    </row>
    <row r="441" spans="1:5" x14ac:dyDescent="0.25">
      <c r="A441">
        <v>3010801</v>
      </c>
      <c r="B441">
        <v>301008</v>
      </c>
      <c r="C441">
        <v>1</v>
      </c>
      <c r="D441">
        <v>0</v>
      </c>
      <c r="E441">
        <v>0</v>
      </c>
    </row>
    <row r="442" spans="1:5" x14ac:dyDescent="0.25">
      <c r="A442">
        <v>3010802</v>
      </c>
      <c r="B442">
        <v>301008</v>
      </c>
      <c r="C442">
        <v>1</v>
      </c>
      <c r="D442">
        <v>10</v>
      </c>
      <c r="E442" t="s">
        <v>256</v>
      </c>
    </row>
    <row r="443" spans="1:5" x14ac:dyDescent="0.25">
      <c r="A443">
        <v>3010803</v>
      </c>
      <c r="B443">
        <v>301008</v>
      </c>
      <c r="C443">
        <v>2</v>
      </c>
      <c r="D443">
        <v>30</v>
      </c>
      <c r="E443" t="s">
        <v>257</v>
      </c>
    </row>
    <row r="444" spans="1:5" x14ac:dyDescent="0.25">
      <c r="A444">
        <v>3010804</v>
      </c>
      <c r="B444">
        <v>301008</v>
      </c>
      <c r="C444">
        <v>3</v>
      </c>
      <c r="D444">
        <v>50</v>
      </c>
      <c r="E444" t="s">
        <v>258</v>
      </c>
    </row>
    <row r="445" spans="1:5" x14ac:dyDescent="0.25">
      <c r="A445">
        <v>3010805</v>
      </c>
      <c r="B445">
        <v>301008</v>
      </c>
      <c r="C445">
        <v>4</v>
      </c>
      <c r="D445">
        <v>1920</v>
      </c>
      <c r="E445" t="s">
        <v>259</v>
      </c>
    </row>
    <row r="446" spans="1:5" x14ac:dyDescent="0.25">
      <c r="A446">
        <v>3010806</v>
      </c>
      <c r="B446">
        <v>301008</v>
      </c>
      <c r="C446">
        <v>5</v>
      </c>
      <c r="D446">
        <v>3849</v>
      </c>
      <c r="E446" t="s">
        <v>260</v>
      </c>
    </row>
    <row r="447" spans="1:5" x14ac:dyDescent="0.25">
      <c r="A447">
        <v>3010807</v>
      </c>
      <c r="B447">
        <v>301008</v>
      </c>
      <c r="C447">
        <v>6</v>
      </c>
      <c r="D447">
        <v>7680</v>
      </c>
      <c r="E447" t="s">
        <v>261</v>
      </c>
    </row>
    <row r="448" spans="1:5" x14ac:dyDescent="0.25">
      <c r="A448">
        <v>3010808</v>
      </c>
      <c r="B448">
        <v>301008</v>
      </c>
      <c r="C448">
        <v>7</v>
      </c>
      <c r="D448">
        <v>3840</v>
      </c>
      <c r="E448" t="s">
        <v>262</v>
      </c>
    </row>
    <row r="449" spans="1:5" x14ac:dyDescent="0.25">
      <c r="A449">
        <v>3010809</v>
      </c>
      <c r="B449">
        <v>301008</v>
      </c>
      <c r="C449">
        <v>8</v>
      </c>
      <c r="D449">
        <v>7680</v>
      </c>
      <c r="E449" t="s">
        <v>263</v>
      </c>
    </row>
    <row r="450" spans="1:5" x14ac:dyDescent="0.25">
      <c r="A450">
        <v>3010810</v>
      </c>
      <c r="B450">
        <v>301008</v>
      </c>
      <c r="C450">
        <v>9</v>
      </c>
      <c r="D450">
        <v>15360</v>
      </c>
      <c r="E450" t="s">
        <v>264</v>
      </c>
    </row>
    <row r="451" spans="1:5" x14ac:dyDescent="0.25">
      <c r="A451">
        <v>3010901</v>
      </c>
      <c r="B451">
        <v>301009</v>
      </c>
      <c r="C451">
        <v>1</v>
      </c>
      <c r="D451">
        <v>0</v>
      </c>
      <c r="E451">
        <v>0</v>
      </c>
    </row>
    <row r="452" spans="1:5" x14ac:dyDescent="0.25">
      <c r="A452">
        <v>3010902</v>
      </c>
      <c r="B452">
        <v>301009</v>
      </c>
      <c r="C452">
        <v>1</v>
      </c>
      <c r="D452">
        <v>10</v>
      </c>
      <c r="E452" t="s">
        <v>256</v>
      </c>
    </row>
    <row r="453" spans="1:5" x14ac:dyDescent="0.25">
      <c r="A453">
        <v>3010903</v>
      </c>
      <c r="B453">
        <v>301009</v>
      </c>
      <c r="C453">
        <v>2</v>
      </c>
      <c r="D453">
        <v>30</v>
      </c>
      <c r="E453" t="s">
        <v>257</v>
      </c>
    </row>
    <row r="454" spans="1:5" x14ac:dyDescent="0.25">
      <c r="A454">
        <v>3010904</v>
      </c>
      <c r="B454">
        <v>301009</v>
      </c>
      <c r="C454">
        <v>3</v>
      </c>
      <c r="D454">
        <v>50</v>
      </c>
      <c r="E454" t="s">
        <v>258</v>
      </c>
    </row>
    <row r="455" spans="1:5" x14ac:dyDescent="0.25">
      <c r="A455">
        <v>3010905</v>
      </c>
      <c r="B455">
        <v>301009</v>
      </c>
      <c r="C455">
        <v>4</v>
      </c>
      <c r="D455">
        <v>1920</v>
      </c>
      <c r="E455" t="s">
        <v>259</v>
      </c>
    </row>
    <row r="456" spans="1:5" x14ac:dyDescent="0.25">
      <c r="A456">
        <v>3010906</v>
      </c>
      <c r="B456">
        <v>301009</v>
      </c>
      <c r="C456">
        <v>5</v>
      </c>
      <c r="D456">
        <v>3849</v>
      </c>
      <c r="E456" t="s">
        <v>260</v>
      </c>
    </row>
    <row r="457" spans="1:5" x14ac:dyDescent="0.25">
      <c r="A457">
        <v>3010907</v>
      </c>
      <c r="B457">
        <v>301009</v>
      </c>
      <c r="C457">
        <v>6</v>
      </c>
      <c r="D457">
        <v>7680</v>
      </c>
      <c r="E457" t="s">
        <v>261</v>
      </c>
    </row>
    <row r="458" spans="1:5" x14ac:dyDescent="0.25">
      <c r="A458">
        <v>3010908</v>
      </c>
      <c r="B458">
        <v>301009</v>
      </c>
      <c r="C458">
        <v>7</v>
      </c>
      <c r="D458">
        <v>3840</v>
      </c>
      <c r="E458" t="s">
        <v>262</v>
      </c>
    </row>
    <row r="459" spans="1:5" x14ac:dyDescent="0.25">
      <c r="A459">
        <v>3010909</v>
      </c>
      <c r="B459">
        <v>301009</v>
      </c>
      <c r="C459">
        <v>8</v>
      </c>
      <c r="D459">
        <v>7680</v>
      </c>
      <c r="E459" t="s">
        <v>263</v>
      </c>
    </row>
    <row r="460" spans="1:5" x14ac:dyDescent="0.25">
      <c r="A460">
        <v>3010910</v>
      </c>
      <c r="B460">
        <v>301009</v>
      </c>
      <c r="C460">
        <v>9</v>
      </c>
      <c r="D460">
        <v>15360</v>
      </c>
      <c r="E460" t="s">
        <v>264</v>
      </c>
    </row>
    <row r="461" spans="1:5" x14ac:dyDescent="0.25">
      <c r="A461">
        <v>3011001</v>
      </c>
      <c r="B461">
        <v>301010</v>
      </c>
      <c r="C461">
        <v>1</v>
      </c>
      <c r="D461">
        <v>0</v>
      </c>
      <c r="E461">
        <v>0</v>
      </c>
    </row>
    <row r="462" spans="1:5" x14ac:dyDescent="0.25">
      <c r="A462">
        <v>3011002</v>
      </c>
      <c r="B462">
        <v>301010</v>
      </c>
      <c r="C462">
        <v>1</v>
      </c>
      <c r="D462">
        <v>10</v>
      </c>
      <c r="E462" t="s">
        <v>256</v>
      </c>
    </row>
    <row r="463" spans="1:5" x14ac:dyDescent="0.25">
      <c r="A463">
        <v>3011003</v>
      </c>
      <c r="B463">
        <v>301010</v>
      </c>
      <c r="C463">
        <v>2</v>
      </c>
      <c r="D463">
        <v>30</v>
      </c>
      <c r="E463" t="s">
        <v>257</v>
      </c>
    </row>
    <row r="464" spans="1:5" x14ac:dyDescent="0.25">
      <c r="A464">
        <v>3011004</v>
      </c>
      <c r="B464">
        <v>301010</v>
      </c>
      <c r="C464">
        <v>3</v>
      </c>
      <c r="D464">
        <v>50</v>
      </c>
      <c r="E464" t="s">
        <v>258</v>
      </c>
    </row>
    <row r="465" spans="1:5" x14ac:dyDescent="0.25">
      <c r="A465">
        <v>3011005</v>
      </c>
      <c r="B465">
        <v>301010</v>
      </c>
      <c r="C465">
        <v>4</v>
      </c>
      <c r="D465">
        <v>1920</v>
      </c>
      <c r="E465" t="s">
        <v>259</v>
      </c>
    </row>
    <row r="466" spans="1:5" x14ac:dyDescent="0.25">
      <c r="A466">
        <v>3011006</v>
      </c>
      <c r="B466">
        <v>301010</v>
      </c>
      <c r="C466">
        <v>5</v>
      </c>
      <c r="D466">
        <v>3849</v>
      </c>
      <c r="E466" t="s">
        <v>260</v>
      </c>
    </row>
    <row r="467" spans="1:5" x14ac:dyDescent="0.25">
      <c r="A467">
        <v>3011007</v>
      </c>
      <c r="B467">
        <v>301010</v>
      </c>
      <c r="C467">
        <v>6</v>
      </c>
      <c r="D467">
        <v>7680</v>
      </c>
      <c r="E467" t="s">
        <v>261</v>
      </c>
    </row>
    <row r="468" spans="1:5" x14ac:dyDescent="0.25">
      <c r="A468">
        <v>3011008</v>
      </c>
      <c r="B468">
        <v>301010</v>
      </c>
      <c r="C468">
        <v>7</v>
      </c>
      <c r="D468">
        <v>3840</v>
      </c>
      <c r="E468" t="s">
        <v>262</v>
      </c>
    </row>
    <row r="469" spans="1:5" x14ac:dyDescent="0.25">
      <c r="A469">
        <v>3011009</v>
      </c>
      <c r="B469">
        <v>301010</v>
      </c>
      <c r="C469">
        <v>8</v>
      </c>
      <c r="D469">
        <v>7680</v>
      </c>
      <c r="E469" t="s">
        <v>263</v>
      </c>
    </row>
    <row r="470" spans="1:5" x14ac:dyDescent="0.25">
      <c r="A470">
        <v>3011010</v>
      </c>
      <c r="B470">
        <v>301010</v>
      </c>
      <c r="C470">
        <v>9</v>
      </c>
      <c r="D470">
        <v>15360</v>
      </c>
      <c r="E470" t="s">
        <v>264</v>
      </c>
    </row>
    <row r="471" spans="1:5" x14ac:dyDescent="0.25">
      <c r="A471">
        <v>3011101</v>
      </c>
      <c r="B471">
        <v>301012</v>
      </c>
      <c r="C471">
        <v>1</v>
      </c>
      <c r="D471">
        <v>0</v>
      </c>
      <c r="E471">
        <v>0</v>
      </c>
    </row>
    <row r="472" spans="1:5" x14ac:dyDescent="0.25">
      <c r="A472">
        <v>3011102</v>
      </c>
      <c r="B472">
        <v>301012</v>
      </c>
      <c r="C472">
        <v>1</v>
      </c>
      <c r="D472">
        <v>10</v>
      </c>
      <c r="E472" t="s">
        <v>256</v>
      </c>
    </row>
    <row r="473" spans="1:5" x14ac:dyDescent="0.25">
      <c r="A473">
        <v>3011103</v>
      </c>
      <c r="B473">
        <v>301012</v>
      </c>
      <c r="C473">
        <v>2</v>
      </c>
      <c r="D473">
        <v>30</v>
      </c>
      <c r="E473" t="s">
        <v>257</v>
      </c>
    </row>
    <row r="474" spans="1:5" x14ac:dyDescent="0.25">
      <c r="A474">
        <v>3011104</v>
      </c>
      <c r="B474">
        <v>301012</v>
      </c>
      <c r="C474">
        <v>3</v>
      </c>
      <c r="D474">
        <v>50</v>
      </c>
      <c r="E474" t="s">
        <v>258</v>
      </c>
    </row>
    <row r="475" spans="1:5" x14ac:dyDescent="0.25">
      <c r="A475">
        <v>3011105</v>
      </c>
      <c r="B475">
        <v>301012</v>
      </c>
      <c r="C475">
        <v>4</v>
      </c>
      <c r="D475">
        <v>1920</v>
      </c>
      <c r="E475" t="s">
        <v>259</v>
      </c>
    </row>
    <row r="476" spans="1:5" x14ac:dyDescent="0.25">
      <c r="A476">
        <v>3011106</v>
      </c>
      <c r="B476">
        <v>301012</v>
      </c>
      <c r="C476">
        <v>5</v>
      </c>
      <c r="D476">
        <v>3849</v>
      </c>
      <c r="E476" t="s">
        <v>260</v>
      </c>
    </row>
    <row r="477" spans="1:5" x14ac:dyDescent="0.25">
      <c r="A477">
        <v>3011107</v>
      </c>
      <c r="B477">
        <v>301012</v>
      </c>
      <c r="C477">
        <v>6</v>
      </c>
      <c r="D477">
        <v>7680</v>
      </c>
      <c r="E477" t="s">
        <v>261</v>
      </c>
    </row>
    <row r="478" spans="1:5" x14ac:dyDescent="0.25">
      <c r="A478">
        <v>3011108</v>
      </c>
      <c r="B478">
        <v>301012</v>
      </c>
      <c r="C478">
        <v>7</v>
      </c>
      <c r="D478">
        <v>3840</v>
      </c>
      <c r="E478" t="s">
        <v>262</v>
      </c>
    </row>
    <row r="479" spans="1:5" x14ac:dyDescent="0.25">
      <c r="A479">
        <v>3011109</v>
      </c>
      <c r="B479">
        <v>301012</v>
      </c>
      <c r="C479">
        <v>8</v>
      </c>
      <c r="D479">
        <v>7680</v>
      </c>
      <c r="E479" t="s">
        <v>263</v>
      </c>
    </row>
    <row r="480" spans="1:5" x14ac:dyDescent="0.25">
      <c r="A480">
        <v>3011110</v>
      </c>
      <c r="B480">
        <v>301012</v>
      </c>
      <c r="C480">
        <v>9</v>
      </c>
      <c r="D480">
        <v>15360</v>
      </c>
      <c r="E480" t="s">
        <v>264</v>
      </c>
    </row>
    <row r="481" spans="1:5" x14ac:dyDescent="0.25">
      <c r="A481">
        <v>3011201</v>
      </c>
      <c r="B481">
        <v>301011</v>
      </c>
      <c r="C481">
        <v>1</v>
      </c>
      <c r="D481">
        <v>0</v>
      </c>
      <c r="E481">
        <v>0</v>
      </c>
    </row>
    <row r="482" spans="1:5" x14ac:dyDescent="0.25">
      <c r="A482">
        <v>3011202</v>
      </c>
      <c r="B482">
        <v>301011</v>
      </c>
      <c r="C482">
        <v>1</v>
      </c>
      <c r="D482">
        <v>10</v>
      </c>
      <c r="E482" t="s">
        <v>256</v>
      </c>
    </row>
    <row r="483" spans="1:5" x14ac:dyDescent="0.25">
      <c r="A483">
        <v>3011203</v>
      </c>
      <c r="B483">
        <v>301011</v>
      </c>
      <c r="C483">
        <v>2</v>
      </c>
      <c r="D483">
        <v>30</v>
      </c>
      <c r="E483" t="s">
        <v>257</v>
      </c>
    </row>
    <row r="484" spans="1:5" x14ac:dyDescent="0.25">
      <c r="A484">
        <v>3011204</v>
      </c>
      <c r="B484">
        <v>301011</v>
      </c>
      <c r="C484">
        <v>3</v>
      </c>
      <c r="D484">
        <v>50</v>
      </c>
      <c r="E484" t="s">
        <v>258</v>
      </c>
    </row>
    <row r="485" spans="1:5" x14ac:dyDescent="0.25">
      <c r="A485">
        <v>3011205</v>
      </c>
      <c r="B485">
        <v>301011</v>
      </c>
      <c r="C485">
        <v>4</v>
      </c>
      <c r="D485">
        <v>1920</v>
      </c>
      <c r="E485" t="s">
        <v>259</v>
      </c>
    </row>
    <row r="486" spans="1:5" x14ac:dyDescent="0.25">
      <c r="A486">
        <v>3011206</v>
      </c>
      <c r="B486">
        <v>301011</v>
      </c>
      <c r="C486">
        <v>5</v>
      </c>
      <c r="D486">
        <v>3849</v>
      </c>
      <c r="E486" t="s">
        <v>260</v>
      </c>
    </row>
    <row r="487" spans="1:5" x14ac:dyDescent="0.25">
      <c r="A487">
        <v>3011207</v>
      </c>
      <c r="B487">
        <v>301011</v>
      </c>
      <c r="C487">
        <v>6</v>
      </c>
      <c r="D487">
        <v>7680</v>
      </c>
      <c r="E487" t="s">
        <v>261</v>
      </c>
    </row>
    <row r="488" spans="1:5" x14ac:dyDescent="0.25">
      <c r="A488">
        <v>3011208</v>
      </c>
      <c r="B488">
        <v>301011</v>
      </c>
      <c r="C488">
        <v>7</v>
      </c>
      <c r="D488">
        <v>3840</v>
      </c>
      <c r="E488" t="s">
        <v>262</v>
      </c>
    </row>
    <row r="489" spans="1:5" x14ac:dyDescent="0.25">
      <c r="A489">
        <v>3011209</v>
      </c>
      <c r="B489">
        <v>301011</v>
      </c>
      <c r="C489">
        <v>8</v>
      </c>
      <c r="D489">
        <v>7680</v>
      </c>
      <c r="E489" t="s">
        <v>263</v>
      </c>
    </row>
    <row r="490" spans="1:5" x14ac:dyDescent="0.25">
      <c r="A490">
        <v>3011210</v>
      </c>
      <c r="B490">
        <v>301011</v>
      </c>
      <c r="C490">
        <v>9</v>
      </c>
      <c r="D490">
        <v>15360</v>
      </c>
      <c r="E490" t="s">
        <v>264</v>
      </c>
    </row>
    <row r="491" spans="1:5" x14ac:dyDescent="0.25">
      <c r="A491">
        <v>3011301</v>
      </c>
      <c r="B491">
        <v>301013</v>
      </c>
      <c r="C491">
        <v>1</v>
      </c>
      <c r="D491">
        <v>0</v>
      </c>
      <c r="E491">
        <v>0</v>
      </c>
    </row>
    <row r="492" spans="1:5" x14ac:dyDescent="0.25">
      <c r="A492">
        <v>3011302</v>
      </c>
      <c r="B492">
        <v>301013</v>
      </c>
      <c r="C492">
        <v>1</v>
      </c>
      <c r="D492">
        <v>10</v>
      </c>
      <c r="E492" t="s">
        <v>256</v>
      </c>
    </row>
    <row r="493" spans="1:5" x14ac:dyDescent="0.25">
      <c r="A493">
        <v>3011303</v>
      </c>
      <c r="B493">
        <v>301013</v>
      </c>
      <c r="C493">
        <v>2</v>
      </c>
      <c r="D493">
        <v>30</v>
      </c>
      <c r="E493" t="s">
        <v>257</v>
      </c>
    </row>
    <row r="494" spans="1:5" x14ac:dyDescent="0.25">
      <c r="A494">
        <v>3011304</v>
      </c>
      <c r="B494">
        <v>301013</v>
      </c>
      <c r="C494">
        <v>3</v>
      </c>
      <c r="D494">
        <v>50</v>
      </c>
      <c r="E494" t="s">
        <v>258</v>
      </c>
    </row>
    <row r="495" spans="1:5" x14ac:dyDescent="0.25">
      <c r="A495">
        <v>3011305</v>
      </c>
      <c r="B495">
        <v>301013</v>
      </c>
      <c r="C495">
        <v>4</v>
      </c>
      <c r="D495">
        <v>1920</v>
      </c>
      <c r="E495" t="s">
        <v>259</v>
      </c>
    </row>
    <row r="496" spans="1:5" x14ac:dyDescent="0.25">
      <c r="A496">
        <v>3011306</v>
      </c>
      <c r="B496">
        <v>301013</v>
      </c>
      <c r="C496">
        <v>5</v>
      </c>
      <c r="D496">
        <v>3849</v>
      </c>
      <c r="E496" t="s">
        <v>260</v>
      </c>
    </row>
    <row r="497" spans="1:5" x14ac:dyDescent="0.25">
      <c r="A497">
        <v>3011307</v>
      </c>
      <c r="B497">
        <v>301013</v>
      </c>
      <c r="C497">
        <v>6</v>
      </c>
      <c r="D497">
        <v>7680</v>
      </c>
      <c r="E497" t="s">
        <v>261</v>
      </c>
    </row>
    <row r="498" spans="1:5" x14ac:dyDescent="0.25">
      <c r="A498">
        <v>3011308</v>
      </c>
      <c r="B498">
        <v>301013</v>
      </c>
      <c r="C498">
        <v>7</v>
      </c>
      <c r="D498">
        <v>3840</v>
      </c>
      <c r="E498" t="s">
        <v>262</v>
      </c>
    </row>
    <row r="499" spans="1:5" x14ac:dyDescent="0.25">
      <c r="A499">
        <v>3011309</v>
      </c>
      <c r="B499">
        <v>301013</v>
      </c>
      <c r="C499">
        <v>8</v>
      </c>
      <c r="D499">
        <v>7680</v>
      </c>
      <c r="E499" t="s">
        <v>263</v>
      </c>
    </row>
    <row r="500" spans="1:5" x14ac:dyDescent="0.25">
      <c r="A500">
        <v>3011310</v>
      </c>
      <c r="B500">
        <v>301013</v>
      </c>
      <c r="C500">
        <v>9</v>
      </c>
      <c r="D500">
        <v>15360</v>
      </c>
      <c r="E500" t="s">
        <v>264</v>
      </c>
    </row>
    <row r="501" spans="1:5" x14ac:dyDescent="0.25">
      <c r="A501">
        <v>3011401</v>
      </c>
      <c r="B501">
        <v>301014</v>
      </c>
      <c r="C501">
        <v>1</v>
      </c>
      <c r="D501">
        <v>0</v>
      </c>
      <c r="E501">
        <v>0</v>
      </c>
    </row>
    <row r="502" spans="1:5" x14ac:dyDescent="0.25">
      <c r="A502">
        <v>3011402</v>
      </c>
      <c r="B502">
        <v>301014</v>
      </c>
      <c r="C502">
        <v>1</v>
      </c>
      <c r="D502">
        <v>10</v>
      </c>
      <c r="E502" t="s">
        <v>256</v>
      </c>
    </row>
    <row r="503" spans="1:5" x14ac:dyDescent="0.25">
      <c r="A503">
        <v>3011403</v>
      </c>
      <c r="B503">
        <v>301014</v>
      </c>
      <c r="C503">
        <v>2</v>
      </c>
      <c r="D503">
        <v>30</v>
      </c>
      <c r="E503" t="s">
        <v>257</v>
      </c>
    </row>
    <row r="504" spans="1:5" x14ac:dyDescent="0.25">
      <c r="A504">
        <v>3011404</v>
      </c>
      <c r="B504">
        <v>301014</v>
      </c>
      <c r="C504">
        <v>3</v>
      </c>
      <c r="D504">
        <v>50</v>
      </c>
      <c r="E504" t="s">
        <v>258</v>
      </c>
    </row>
    <row r="505" spans="1:5" x14ac:dyDescent="0.25">
      <c r="A505">
        <v>3011405</v>
      </c>
      <c r="B505">
        <v>301014</v>
      </c>
      <c r="C505">
        <v>4</v>
      </c>
      <c r="D505">
        <v>1920</v>
      </c>
      <c r="E505" t="s">
        <v>259</v>
      </c>
    </row>
    <row r="506" spans="1:5" x14ac:dyDescent="0.25">
      <c r="A506">
        <v>3011406</v>
      </c>
      <c r="B506">
        <v>301014</v>
      </c>
      <c r="C506">
        <v>5</v>
      </c>
      <c r="D506">
        <v>3849</v>
      </c>
      <c r="E506" t="s">
        <v>260</v>
      </c>
    </row>
    <row r="507" spans="1:5" x14ac:dyDescent="0.25">
      <c r="A507">
        <v>3011407</v>
      </c>
      <c r="B507">
        <v>301014</v>
      </c>
      <c r="C507">
        <v>6</v>
      </c>
      <c r="D507">
        <v>7680</v>
      </c>
      <c r="E507" t="s">
        <v>261</v>
      </c>
    </row>
    <row r="508" spans="1:5" x14ac:dyDescent="0.25">
      <c r="A508">
        <v>3011408</v>
      </c>
      <c r="B508">
        <v>301014</v>
      </c>
      <c r="C508">
        <v>7</v>
      </c>
      <c r="D508">
        <v>3840</v>
      </c>
      <c r="E508" t="s">
        <v>262</v>
      </c>
    </row>
    <row r="509" spans="1:5" x14ac:dyDescent="0.25">
      <c r="A509">
        <v>3011409</v>
      </c>
      <c r="B509">
        <v>301014</v>
      </c>
      <c r="C509">
        <v>8</v>
      </c>
      <c r="D509">
        <v>7680</v>
      </c>
      <c r="E509" t="s">
        <v>263</v>
      </c>
    </row>
    <row r="510" spans="1:5" x14ac:dyDescent="0.25">
      <c r="A510">
        <v>3011410</v>
      </c>
      <c r="B510">
        <v>301014</v>
      </c>
      <c r="C510">
        <v>9</v>
      </c>
      <c r="D510">
        <v>15360</v>
      </c>
      <c r="E510" t="s">
        <v>264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张奕轩</dc:creator>
  <cp:lastModifiedBy>3080</cp:lastModifiedBy>
  <dcterms:created xsi:type="dcterms:W3CDTF">2006-09-16T00:00:00Z</dcterms:created>
  <dcterms:modified xsi:type="dcterms:W3CDTF">2025-03-26T07:33:59Z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6A4AA770F63A416182D4C0C155CF712D_12</vt:lpwstr>
  </property>
  <property fmtid="{D5CDD505-2E9C-101B-9397-08002B2CF9AE}" pid="3" name="KSOProductBuildVer">
    <vt:lpwstr>2052-12.1.0.18276</vt:lpwstr>
  </property>
</Properties>
</file>